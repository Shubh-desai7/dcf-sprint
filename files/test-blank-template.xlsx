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60" windowWidth="29400" windowHeight="17240" tabRatio="500" firstSheet="0" activeTab="5" autoFilterDateGrouping="1"/>
  </bookViews>
  <sheets>
    <sheet name="Financials&gt;&gt;" sheetId="1" state="visible" r:id="rId1"/>
    <sheet name="Offline retail" sheetId="2" state="visible" r:id="rId2"/>
    <sheet name="D2C" sheetId="3" state="visible" r:id="rId3"/>
    <sheet name="Consolidated " sheetId="4" state="visible" r:id="rId4"/>
    <sheet name="Valuation&gt;&gt;" sheetId="5" state="visible" r:id="rId5"/>
    <sheet name="DCF (FCFE)" sheetId="6" state="visible" r:id="rId6"/>
    <sheet name="Relative Valuation" sheetId="7" state="visible" r:id="rId7"/>
    <sheet name="Sum of parts" sheetId="8" state="visible" r:id="rId8"/>
    <sheet name="First Chicago" sheetId="9" state="visible" r:id="rId9"/>
    <sheet name="Exit Pegged Valuation" sheetId="10" state="visible" r:id="rId10"/>
    <sheet name="Football Field" sheetId="11" state="visible" r:id="rId11"/>
    <sheet name="Assumptions" sheetId="12" state="visible" r:id="rId12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;\(#,##0.0\);\-"/>
    <numFmt numFmtId="165" formatCode="#,##0.0_);\(#,##0.0\)"/>
    <numFmt numFmtId="166" formatCode="#,##0;\(#,##0\);\-"/>
  </numFmts>
  <fonts count="16">
    <font>
      <name val="Calibri"/>
      <charset val="1"/>
      <family val="2"/>
      <color theme="1"/>
      <sz val="11"/>
    </font>
    <font>
      <name val="Arial"/>
      <family val="2"/>
      <sz val="10"/>
    </font>
    <font>
      <name val="Calibri"/>
      <charset val="1"/>
      <family val="2"/>
      <color theme="1"/>
      <sz val="11"/>
    </font>
    <font>
      <name val="Arial"/>
      <family val="2"/>
      <i val="1"/>
      <color rgb="FF777777"/>
      <sz val="13"/>
    </font>
    <font>
      <name val="Calibri"/>
      <charset val="1"/>
      <family val="2"/>
      <color theme="1"/>
      <sz val="13"/>
    </font>
    <font>
      <name val="Arial"/>
      <family val="2"/>
      <b val="1"/>
      <sz val="13"/>
    </font>
    <font>
      <name val="Arial"/>
      <family val="2"/>
      <sz val="13"/>
    </font>
    <font>
      <name val="Calibri"/>
      <charset val="1"/>
      <family val="2"/>
      <b val="1"/>
      <color theme="1"/>
      <sz val="13"/>
    </font>
    <font>
      <name val="Arial"/>
      <family val="2"/>
      <b val="1"/>
      <color theme="0"/>
      <sz val="13"/>
    </font>
    <font>
      <name val="Arial"/>
      <family val="2"/>
      <b val="1"/>
      <color theme="1"/>
      <sz val="13"/>
    </font>
    <font>
      <name val="Arial"/>
      <family val="2"/>
      <b val="1"/>
      <color theme="1"/>
      <sz val="18"/>
    </font>
    <font>
      <name val="Calibri"/>
      <family val="2"/>
      <b val="1"/>
      <color theme="1"/>
      <sz val="13"/>
    </font>
    <font>
      <name val="Arial"/>
      <family val="2"/>
      <color theme="1"/>
      <sz val="13"/>
    </font>
    <font>
      <name val="Arial"/>
      <family val="2"/>
      <b val="1"/>
      <color rgb="FF6B4E1E"/>
      <sz val="10"/>
    </font>
    <font>
      <name val="Arial"/>
      <family val="2"/>
      <i val="1"/>
      <color theme="1"/>
      <sz val="13"/>
    </font>
    <font>
      <name val="Arial"/>
      <family val="2"/>
      <b val="1"/>
      <color rgb="FF000000"/>
      <sz val="13"/>
    </font>
  </fonts>
  <fills count="13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0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2"/>
        <bgColor rgb="FFFFFFCC"/>
      </patternFill>
    </fill>
    <fill>
      <patternFill patternType="solid">
        <fgColor theme="2" tint="-0.749992370372631"/>
        <bgColor rgb="FF6B4E1E"/>
      </patternFill>
    </fill>
    <fill>
      <patternFill patternType="solid">
        <fgColor theme="3"/>
        <bgColor rgb="FF6B4E1E"/>
      </patternFill>
    </fill>
    <fill>
      <patternFill patternType="solid">
        <fgColor theme="5" tint="0.7999816888943144"/>
        <bgColor rgb="FFFFFFCC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rgb="FFFFFFCC"/>
      </patternFill>
    </fill>
    <fill>
      <patternFill patternType="solid">
        <fgColor rgb="FFFFFFCC"/>
        <bgColor rgb="FFFFFFCC"/>
      </patternFill>
    </fill>
  </fills>
  <borders count="8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  <border>
      <left style="thin">
        <color theme="0" tint="-0.1499679555650502"/>
      </left>
      <right/>
      <top style="thin">
        <color theme="0" tint="-0.1499679555650502"/>
      </top>
      <bottom style="thin">
        <color theme="0" tint="-0.1499679555650502"/>
      </bottom>
      <diagonal/>
    </border>
    <border>
      <left/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/>
      <diagonal/>
    </border>
    <border>
      <left style="thin">
        <color theme="0" tint="-0.1499679555650502"/>
      </left>
      <right style="thin">
        <color theme="0" tint="-0.1499679555650502"/>
      </right>
      <top/>
      <bottom style="thin">
        <color theme="0" tint="-0.1499679555650502"/>
      </bottom>
      <diagonal/>
    </border>
  </borders>
  <cellStyleXfs count="3">
    <xf numFmtId="0" fontId="2" fillId="0" borderId="0"/>
    <xf numFmtId="9" fontId="1" fillId="0" borderId="0"/>
    <xf numFmtId="0" fontId="2" fillId="2" borderId="1"/>
  </cellStyleXfs>
  <cellXfs count="81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6" fillId="0" borderId="2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8" fillId="7" borderId="2" applyAlignment="1" pivotButton="0" quotePrefix="0" xfId="0">
      <alignment vertical="center"/>
    </xf>
    <xf numFmtId="0" fontId="8" fillId="7" borderId="2" applyAlignment="1" pivotButton="0" quotePrefix="0" xfId="0">
      <alignment horizontal="center" vertical="center"/>
    </xf>
    <xf numFmtId="0" fontId="10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9" fillId="5" borderId="2" applyAlignment="1" pivotButton="0" quotePrefix="0" xfId="0">
      <alignment vertical="center"/>
    </xf>
    <xf numFmtId="164" fontId="9" fillId="5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8" fillId="7" borderId="3" applyAlignment="1" pivotButton="0" quotePrefix="0" xfId="0">
      <alignment vertical="center"/>
    </xf>
    <xf numFmtId="0" fontId="6" fillId="0" borderId="3" applyAlignment="1" pivotButton="0" quotePrefix="0" xfId="0">
      <alignment vertical="center"/>
    </xf>
    <xf numFmtId="0" fontId="8" fillId="7" borderId="3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8" borderId="6" applyAlignment="1" pivotButton="0" quotePrefix="0" xfId="0">
      <alignment horizontal="center" vertical="center"/>
    </xf>
    <xf numFmtId="0" fontId="12" fillId="0" borderId="4" applyAlignment="1" pivotButton="0" quotePrefix="0" xfId="0">
      <alignment vertical="center"/>
    </xf>
    <xf numFmtId="164" fontId="12" fillId="2" borderId="2" applyAlignment="1" pivotButton="0" quotePrefix="0" xfId="2">
      <alignment horizontal="center" vertical="center"/>
    </xf>
    <xf numFmtId="164" fontId="12" fillId="0" borderId="5" applyAlignment="1" pivotButton="0" quotePrefix="0" xfId="0">
      <alignment horizontal="center" vertical="center"/>
    </xf>
    <xf numFmtId="164" fontId="12" fillId="0" borderId="2" applyAlignment="1" pivotButton="0" quotePrefix="0" xfId="0">
      <alignment horizontal="center" vertical="center"/>
    </xf>
    <xf numFmtId="0" fontId="9" fillId="6" borderId="2" applyAlignment="1" pivotButton="0" quotePrefix="0" xfId="0">
      <alignment vertical="center"/>
    </xf>
    <xf numFmtId="164" fontId="9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vertical="center"/>
    </xf>
    <xf numFmtId="164" fontId="9" fillId="5" borderId="7" applyAlignment="1" pivotButton="0" quotePrefix="0" xfId="0">
      <alignment horizontal="center" vertical="center"/>
    </xf>
    <xf numFmtId="0" fontId="13" fillId="0" borderId="0" pivotButton="0" quotePrefix="0" xfId="0"/>
    <xf numFmtId="165" fontId="9" fillId="5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0" fontId="12" fillId="0" borderId="2" applyAlignment="1" pivotButton="0" quotePrefix="0" xfId="0">
      <alignment horizontal="center" vertical="center"/>
    </xf>
    <xf numFmtId="2" fontId="12" fillId="0" borderId="2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12" fillId="0" borderId="3" applyAlignment="1" pivotButton="0" quotePrefix="0" xfId="0">
      <alignment vertical="center"/>
    </xf>
    <xf numFmtId="164" fontId="12" fillId="0" borderId="3" applyAlignment="1" pivotButton="0" quotePrefix="0" xfId="0">
      <alignment horizontal="center" vertical="center"/>
    </xf>
    <xf numFmtId="166" fontId="12" fillId="0" borderId="3" applyAlignment="1" pivotButton="0" quotePrefix="0" xfId="0">
      <alignment horizontal="center" vertical="center"/>
    </xf>
    <xf numFmtId="0" fontId="9" fillId="0" borderId="3" applyAlignment="1" pivotButton="0" quotePrefix="0" xfId="0">
      <alignment vertical="center"/>
    </xf>
    <xf numFmtId="164" fontId="9" fillId="0" borderId="3" applyAlignment="1" pivotButton="0" quotePrefix="0" xfId="0">
      <alignment horizontal="center" vertical="center"/>
    </xf>
    <xf numFmtId="0" fontId="9" fillId="9" borderId="2" applyAlignment="1" pivotButton="0" quotePrefix="0" xfId="0">
      <alignment vertical="center"/>
    </xf>
    <xf numFmtId="164" fontId="9" fillId="9" borderId="2" applyAlignment="1" pivotButton="0" quotePrefix="0" xfId="0">
      <alignment horizontal="center" vertical="center"/>
    </xf>
    <xf numFmtId="9" fontId="6" fillId="10" borderId="2" applyAlignment="1" pivotButton="0" quotePrefix="0" xfId="1">
      <alignment horizontal="center" vertical="center"/>
    </xf>
    <xf numFmtId="164" fontId="9" fillId="3" borderId="2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12" fillId="4" borderId="2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14" fontId="4" fillId="0" borderId="0" applyAlignment="1" pivotButton="0" quotePrefix="0" xfId="0">
      <alignment vertical="center"/>
    </xf>
    <xf numFmtId="164" fontId="9" fillId="3" borderId="0" applyAlignment="1" pivotButton="0" quotePrefix="0" xfId="0">
      <alignment horizontal="center" vertical="center"/>
    </xf>
    <xf numFmtId="9" fontId="1" fillId="0" borderId="0" applyAlignment="1" pivotButton="0" quotePrefix="0" xfId="1">
      <alignment horizontal="center" vertical="center"/>
    </xf>
    <xf numFmtId="0" fontId="12" fillId="3" borderId="2" applyAlignment="1" pivotButton="0" quotePrefix="0" xfId="0">
      <alignment vertical="center"/>
    </xf>
    <xf numFmtId="164" fontId="12" fillId="3" borderId="2" applyAlignment="1" pivotButton="0" quotePrefix="0" xfId="0">
      <alignment horizontal="center" vertical="center"/>
    </xf>
    <xf numFmtId="14" fontId="8" fillId="7" borderId="2" applyAlignment="1" pivotButton="0" quotePrefix="0" xfId="0">
      <alignment horizontal="center" vertical="center"/>
    </xf>
    <xf numFmtId="9" fontId="5" fillId="5" borderId="2" applyAlignment="1" pivotButton="0" quotePrefix="0" xfId="1">
      <alignment horizontal="center" vertical="center"/>
    </xf>
    <xf numFmtId="164" fontId="11" fillId="0" borderId="0" applyAlignment="1" pivotButton="0" quotePrefix="0" xfId="0">
      <alignment vertical="center"/>
    </xf>
    <xf numFmtId="9" fontId="4" fillId="0" borderId="0" applyAlignment="1" pivotButton="0" quotePrefix="0" xfId="0">
      <alignment horizontal="center" vertical="center"/>
    </xf>
    <xf numFmtId="9" fontId="4" fillId="0" borderId="0" applyAlignment="1" pivotButton="0" quotePrefix="0" xfId="0">
      <alignment vertical="center"/>
    </xf>
    <xf numFmtId="2" fontId="4" fillId="0" borderId="0" applyAlignment="1" pivotButton="0" quotePrefix="0" xfId="0">
      <alignment horizontal="center" vertical="center"/>
    </xf>
    <xf numFmtId="9" fontId="11" fillId="0" borderId="0" applyAlignment="1" pivotButton="0" quotePrefix="0" xfId="0">
      <alignment vertical="center"/>
    </xf>
    <xf numFmtId="164" fontId="15" fillId="11" borderId="0" applyAlignment="1" pivotButton="0" quotePrefix="0" xfId="0">
      <alignment horizontal="center" vertical="center"/>
    </xf>
    <xf numFmtId="9" fontId="1" fillId="0" borderId="0" applyAlignment="1" pivotButton="0" quotePrefix="0" xfId="1">
      <alignment horizontal="center" vertical="center"/>
    </xf>
    <xf numFmtId="165" fontId="4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7" fillId="4" borderId="0" applyAlignment="1" pivotButton="0" quotePrefix="0" xfId="0">
      <alignment vertical="center"/>
    </xf>
    <xf numFmtId="0" fontId="12" fillId="4" borderId="2" applyAlignment="1" pivotButton="0" quotePrefix="0" xfId="0">
      <alignment vertical="center"/>
    </xf>
    <xf numFmtId="165" fontId="12" fillId="4" borderId="2" applyAlignment="1" pivotButton="0" quotePrefix="0" xfId="0">
      <alignment horizontal="center" vertical="center"/>
    </xf>
    <xf numFmtId="164" fontId="12" fillId="12" borderId="2" applyAlignment="1" pivotButton="0" quotePrefix="0" xfId="0">
      <alignment horizontal="center" vertical="center"/>
    </xf>
    <xf numFmtId="2" fontId="5" fillId="5" borderId="2" applyAlignment="1" pivotButton="0" quotePrefix="0" xfId="1">
      <alignment horizontal="center" vertical="center"/>
    </xf>
    <xf numFmtId="165" fontId="4" fillId="0" borderId="0" applyAlignment="1" pivotButton="0" quotePrefix="0" xfId="0">
      <alignment horizontal="center" vertical="center"/>
    </xf>
    <xf numFmtId="165" fontId="9" fillId="5" borderId="2" applyAlignment="1" pivotButton="0" quotePrefix="0" xfId="0">
      <alignment horizontal="center" vertical="center"/>
    </xf>
    <xf numFmtId="165" fontId="12" fillId="4" borderId="2" applyAlignment="1" pivotButton="0" quotePrefix="0" xfId="0">
      <alignment horizontal="center" vertical="center"/>
    </xf>
    <xf numFmtId="165" fontId="9" fillId="6" borderId="2" applyAlignment="1" pivotButton="0" quotePrefix="0" xfId="0">
      <alignment horizontal="center" vertical="center"/>
    </xf>
    <xf numFmtId="9" fontId="6" fillId="2" borderId="2" applyAlignment="1" pivotButton="0" quotePrefix="0" xfId="1">
      <alignment horizontal="center" vertical="center"/>
    </xf>
    <xf numFmtId="164" fontId="12" fillId="2" borderId="2" applyAlignment="1" pivotButton="0" quotePrefix="0" xfId="0">
      <alignment horizontal="center" vertical="center"/>
    </xf>
    <xf numFmtId="166" fontId="12" fillId="0" borderId="3" applyAlignment="1" pivotButton="0" quotePrefix="0" xfId="0">
      <alignment horizontal="center" vertical="center"/>
    </xf>
  </cellXfs>
  <cellStyles count="3">
    <cellStyle name="Normal" xfId="0" builtinId="0"/>
    <cellStyle name="Per cent" xfId="1" builtinId="5"/>
    <cellStyle name="Note" xfId="2" builtinId="1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C6427"/>
      <rgbColor rgb="FF800080"/>
      <rgbColor rgb="FF008080"/>
      <rgbColor rgb="FFC0C0C0"/>
      <rgbColor rgb="FF777777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EAE0CB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6B4E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30" customHeight="1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showGridLines="0" zoomScale="131" zoomScaleNormal="100" workbookViewId="0">
      <selection activeCell="A1" sqref="A1"/>
    </sheetView>
  </sheetViews>
  <sheetFormatPr baseColWidth="10" defaultColWidth="8.6640625" defaultRowHeight="30" customHeight="1"/>
  <cols>
    <col width="6" customWidth="1" style="5" min="1" max="1"/>
    <col width="36.83203125" customWidth="1" style="5" min="2" max="2"/>
    <col width="12" customWidth="1" style="4" min="3" max="9"/>
    <col width="12" customWidth="1" style="5" min="10" max="10"/>
    <col width="8.6640625" customWidth="1" style="5" min="11" max="16384"/>
  </cols>
  <sheetData>
    <row r="1" ht="30" customFormat="1" customHeight="1" s="2">
      <c r="A1" s="11" t="inlineStr">
        <is>
          <t>Offline retail stores</t>
        </is>
      </c>
      <c r="C1" s="3" t="n"/>
      <c r="D1" s="3" t="n"/>
      <c r="E1" s="3" t="n"/>
      <c r="F1" s="3" t="n"/>
      <c r="G1" s="3" t="n"/>
      <c r="H1" s="3" t="n"/>
      <c r="I1" s="3" t="n"/>
    </row>
    <row r="2" ht="24" customHeight="1">
      <c r="A2" s="12" t="inlineStr">
        <is>
          <t>All figures in ₹ crore</t>
        </is>
      </c>
    </row>
    <row r="4" ht="30" customHeight="1">
      <c r="A4" s="4" t="inlineStr">
        <is>
          <t>x</t>
        </is>
      </c>
      <c r="B4" s="6" t="inlineStr">
        <is>
          <t>Profit and loss</t>
        </is>
      </c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24" t="inlineStr">
        <is>
          <t>Bags revenue</t>
        </is>
      </c>
      <c r="C6" s="25" t="n">
        <v>11.5</v>
      </c>
      <c r="D6" s="25" t="n">
        <v>30</v>
      </c>
      <c r="E6" s="25" t="n">
        <v>60</v>
      </c>
      <c r="F6" s="26" t="n"/>
      <c r="G6" s="26" t="n"/>
      <c r="H6" s="26" t="n"/>
      <c r="I6" s="26" t="n"/>
    </row>
    <row r="7" ht="30" customHeight="1">
      <c r="B7" s="24" t="inlineStr">
        <is>
          <t>Accessories revenue</t>
        </is>
      </c>
      <c r="C7" s="25" t="n">
        <v>2.4</v>
      </c>
      <c r="D7" s="25" t="n">
        <v>6.8</v>
      </c>
      <c r="E7" s="25" t="n">
        <v>15</v>
      </c>
      <c r="F7" s="26" t="n"/>
      <c r="G7" s="26" t="n"/>
      <c r="H7" s="26" t="n"/>
      <c r="I7" s="26" t="n"/>
    </row>
    <row r="8" ht="30" customHeight="1">
      <c r="B8" s="13" t="inlineStr">
        <is>
          <t>Total revenue</t>
        </is>
      </c>
      <c r="C8" s="31">
        <f>C6+C7</f>
        <v/>
      </c>
      <c r="D8" s="31">
        <f>D6+D7</f>
        <v/>
      </c>
      <c r="E8" s="31">
        <f>E6+E7</f>
        <v/>
      </c>
      <c r="F8" s="14" t="n"/>
      <c r="G8" s="14" t="n"/>
      <c r="H8" s="14" t="n"/>
      <c r="I8" s="14" t="n"/>
    </row>
    <row r="9" ht="30" customHeight="1">
      <c r="B9" s="30" t="inlineStr">
        <is>
          <t>Cost of goods sold</t>
        </is>
      </c>
      <c r="C9" s="25" t="n">
        <v>7.9</v>
      </c>
      <c r="D9" s="25" t="n">
        <v>19.9</v>
      </c>
      <c r="E9" s="25" t="n">
        <v>39</v>
      </c>
      <c r="F9" s="27" t="n"/>
      <c r="G9" s="27" t="n"/>
      <c r="H9" s="27" t="n"/>
      <c r="I9" s="27" t="n"/>
    </row>
    <row r="10" ht="30" customFormat="1" customHeight="1" s="8">
      <c r="B10" s="28" t="inlineStr">
        <is>
          <t>Gross margin</t>
        </is>
      </c>
      <c r="C10" s="29">
        <f>C8-C9</f>
        <v/>
      </c>
      <c r="D10" s="29">
        <f>D8-D9</f>
        <v/>
      </c>
      <c r="E10" s="29">
        <f>E8-E9</f>
        <v/>
      </c>
      <c r="F10" s="29" t="n"/>
      <c r="G10" s="29" t="n"/>
      <c r="H10" s="29" t="n"/>
      <c r="I10" s="29" t="n"/>
    </row>
    <row r="11" ht="30" customHeight="1">
      <c r="B11" s="30" t="inlineStr">
        <is>
          <t>Packaging</t>
        </is>
      </c>
      <c r="C11" s="25" t="n">
        <v>0.2</v>
      </c>
      <c r="D11" s="25" t="n">
        <v>0.5</v>
      </c>
      <c r="E11" s="25" t="n">
        <v>0.9</v>
      </c>
      <c r="F11" s="27" t="n"/>
      <c r="G11" s="27" t="n"/>
      <c r="H11" s="27" t="n"/>
      <c r="I11" s="27" t="n"/>
    </row>
    <row r="12" ht="30" customHeight="1">
      <c r="B12" s="30" t="inlineStr">
        <is>
          <t>Payment gateway charges</t>
        </is>
      </c>
      <c r="C12" s="25" t="n">
        <v>0.2</v>
      </c>
      <c r="D12" s="25" t="n">
        <v>0.4</v>
      </c>
      <c r="E12" s="25" t="n">
        <v>0.8</v>
      </c>
      <c r="F12" s="27" t="n"/>
      <c r="G12" s="27" t="n"/>
      <c r="H12" s="27" t="n"/>
      <c r="I12" s="27" t="n"/>
    </row>
    <row r="13" ht="30" customFormat="1" customHeight="1" s="8">
      <c r="B13" s="13" t="inlineStr">
        <is>
          <t>Contribution Margin-1</t>
        </is>
      </c>
      <c r="C13" s="14">
        <f>C10-C11-C12</f>
        <v/>
      </c>
      <c r="D13" s="14">
        <f>D10-D11-D12</f>
        <v/>
      </c>
      <c r="E13" s="14">
        <f>E10-E11-E12</f>
        <v/>
      </c>
      <c r="F13" s="14" t="n"/>
      <c r="G13" s="14" t="n"/>
      <c r="H13" s="14" t="n"/>
      <c r="I13" s="14" t="n"/>
    </row>
    <row r="14" ht="30" customHeight="1">
      <c r="B14" s="30" t="inlineStr">
        <is>
          <t>Performance Marketing</t>
        </is>
      </c>
      <c r="C14" s="25" t="n">
        <v>0.9</v>
      </c>
      <c r="D14" s="25" t="n">
        <v>2</v>
      </c>
      <c r="E14" s="25" t="n">
        <v>3.4</v>
      </c>
      <c r="F14" s="27" t="n"/>
      <c r="G14" s="27" t="n"/>
      <c r="H14" s="27" t="n"/>
      <c r="I14" s="27" t="n"/>
    </row>
    <row r="15" ht="30" customFormat="1" customHeight="1" s="8">
      <c r="B15" s="13" t="inlineStr">
        <is>
          <t>Contribution Margin-2</t>
        </is>
      </c>
      <c r="C15" s="14">
        <f>C13-C14</f>
        <v/>
      </c>
      <c r="D15" s="14">
        <f>D13-D14</f>
        <v/>
      </c>
      <c r="E15" s="14">
        <f>E13-E14</f>
        <v/>
      </c>
      <c r="F15" s="14" t="n"/>
      <c r="G15" s="14" t="n"/>
      <c r="H15" s="14" t="n"/>
      <c r="I15" s="14" t="n"/>
    </row>
    <row r="16" ht="30" customHeight="1">
      <c r="B16" s="30" t="inlineStr">
        <is>
          <t>Store rent</t>
        </is>
      </c>
      <c r="C16" s="25" t="n">
        <v>3.4</v>
      </c>
      <c r="D16" s="25" t="n">
        <v>6.9</v>
      </c>
      <c r="E16" s="25" t="n">
        <v>11</v>
      </c>
      <c r="F16" s="27" t="n"/>
      <c r="G16" s="27" t="n"/>
      <c r="H16" s="27" t="n"/>
      <c r="I16" s="27" t="n"/>
    </row>
    <row r="17" ht="30" customHeight="1">
      <c r="B17" s="30" t="inlineStr">
        <is>
          <t>Store staff</t>
        </is>
      </c>
      <c r="C17" s="25" t="n">
        <v>2.1</v>
      </c>
      <c r="D17" s="25" t="n">
        <v>4.7</v>
      </c>
      <c r="E17" s="25" t="n">
        <v>8</v>
      </c>
      <c r="F17" s="27" t="n"/>
      <c r="G17" s="27" t="n"/>
      <c r="H17" s="27" t="n"/>
      <c r="I17" s="27" t="n"/>
    </row>
    <row r="18" ht="30" customHeight="1">
      <c r="B18" s="13" t="inlineStr">
        <is>
          <t>Offline contribution</t>
        </is>
      </c>
      <c r="C18" s="14">
        <f>C15-C16-C17</f>
        <v/>
      </c>
      <c r="D18" s="14">
        <f>D15-D16-D17</f>
        <v/>
      </c>
      <c r="E18" s="14">
        <f>E15-E16-E17</f>
        <v/>
      </c>
      <c r="F18" s="14" t="n"/>
      <c r="G18" s="14" t="n"/>
      <c r="H18" s="14" t="n"/>
      <c r="I18" s="1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zoomScale="150" zoomScaleNormal="100" workbookViewId="0">
      <selection activeCell="A1" sqref="A1"/>
    </sheetView>
  </sheetViews>
  <sheetFormatPr baseColWidth="10" defaultColWidth="8.6640625" defaultRowHeight="30" customHeight="1"/>
  <cols>
    <col width="6.6640625" customWidth="1" style="5" min="1" max="1"/>
    <col width="34" customWidth="1" style="5" min="2" max="2"/>
    <col width="12" customWidth="1" style="4" min="3" max="9"/>
    <col width="12" customWidth="1" style="5" min="10" max="10"/>
    <col width="8.6640625" customWidth="1" style="5" min="11" max="16384"/>
  </cols>
  <sheetData>
    <row r="1" ht="30" customFormat="1" customHeight="1" s="2">
      <c r="A1" s="11" t="inlineStr">
        <is>
          <t>D2C &amp; App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24" customHeight="1">
      <c r="A2" s="12" t="inlineStr">
        <is>
          <t>All figures in ₹ crore</t>
        </is>
      </c>
      <c r="J2" s="4" t="n"/>
    </row>
    <row r="4" ht="30" customHeight="1">
      <c r="A4" s="4" t="inlineStr">
        <is>
          <t>x</t>
        </is>
      </c>
      <c r="B4" s="6" t="inlineStr">
        <is>
          <t>Profit and loss</t>
        </is>
      </c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30" t="inlineStr">
        <is>
          <t>Bags revenue</t>
        </is>
      </c>
      <c r="C6" s="25" t="n">
        <v>8.699999999999999</v>
      </c>
      <c r="D6" s="25" t="n">
        <v>22.5</v>
      </c>
      <c r="E6" s="25" t="n">
        <v>45</v>
      </c>
      <c r="F6" s="27" t="n"/>
      <c r="G6" s="27" t="n"/>
      <c r="H6" s="27" t="n"/>
      <c r="I6" s="27" t="n"/>
    </row>
    <row r="7" ht="30" customHeight="1">
      <c r="B7" s="30" t="inlineStr">
        <is>
          <t>Accessories revenue</t>
        </is>
      </c>
      <c r="C7" s="25" t="n">
        <v>3.9</v>
      </c>
      <c r="D7" s="25" t="n">
        <v>11.4</v>
      </c>
      <c r="E7" s="25" t="n">
        <v>25</v>
      </c>
      <c r="F7" s="27" t="n"/>
      <c r="G7" s="27" t="n"/>
      <c r="H7" s="27" t="n"/>
      <c r="I7" s="27" t="n"/>
    </row>
    <row r="8" ht="30" customHeight="1">
      <c r="B8" s="13" t="inlineStr">
        <is>
          <t>Total revenue</t>
        </is>
      </c>
      <c r="C8" s="31">
        <f>C6+C7</f>
        <v/>
      </c>
      <c r="D8" s="31">
        <f>D6+D7</f>
        <v/>
      </c>
      <c r="E8" s="31">
        <f>E6+E7</f>
        <v/>
      </c>
      <c r="F8" s="14" t="n"/>
      <c r="G8" s="14" t="n"/>
      <c r="H8" s="14" t="n"/>
      <c r="I8" s="14" t="n"/>
    </row>
    <row r="9" ht="30" customHeight="1">
      <c r="B9" s="30" t="inlineStr">
        <is>
          <t>Cost of goods sold</t>
        </is>
      </c>
      <c r="C9" s="25" t="n">
        <v>6.4</v>
      </c>
      <c r="D9" s="25" t="n">
        <v>16.3</v>
      </c>
      <c r="E9" s="25" t="n">
        <v>32.2</v>
      </c>
      <c r="F9" s="27" t="n"/>
      <c r="G9" s="27" t="n"/>
      <c r="H9" s="27" t="n"/>
      <c r="I9" s="27" t="n"/>
    </row>
    <row r="10" ht="30" customFormat="1" customHeight="1" s="8">
      <c r="B10" s="13" t="inlineStr">
        <is>
          <t>Gross margin</t>
        </is>
      </c>
      <c r="C10" s="29">
        <f>C8-C9</f>
        <v/>
      </c>
      <c r="D10" s="29">
        <f>D8-D9</f>
        <v/>
      </c>
      <c r="E10" s="29">
        <f>E8-E9</f>
        <v/>
      </c>
      <c r="F10" s="29" t="n"/>
      <c r="G10" s="29" t="n"/>
      <c r="H10" s="29" t="n"/>
      <c r="I10" s="29" t="n"/>
    </row>
    <row r="11" ht="30" customHeight="1">
      <c r="B11" s="30" t="inlineStr">
        <is>
          <t>Packaging</t>
        </is>
      </c>
      <c r="C11" s="25" t="n">
        <v>0.2</v>
      </c>
      <c r="D11" s="25" t="n">
        <v>0.6</v>
      </c>
      <c r="E11" s="25" t="n">
        <v>1.1</v>
      </c>
      <c r="F11" s="27" t="n"/>
      <c r="G11" s="27" t="n"/>
      <c r="H11" s="27" t="n"/>
      <c r="I11" s="27" t="n"/>
    </row>
    <row r="12" ht="30" customHeight="1">
      <c r="B12" s="30" t="inlineStr">
        <is>
          <t>Payment gateway charges</t>
        </is>
      </c>
      <c r="C12" s="25" t="n">
        <v>0.2</v>
      </c>
      <c r="D12" s="25" t="n">
        <v>0.5</v>
      </c>
      <c r="E12" s="25" t="n">
        <v>0.8</v>
      </c>
      <c r="F12" s="27" t="n"/>
      <c r="G12" s="27" t="n"/>
      <c r="H12" s="27" t="n"/>
      <c r="I12" s="27" t="n"/>
    </row>
    <row r="13" ht="30" customHeight="1">
      <c r="B13" s="30" t="inlineStr">
        <is>
          <t>Shipping</t>
        </is>
      </c>
      <c r="C13" s="25" t="n">
        <v>0.5</v>
      </c>
      <c r="D13" s="25" t="n">
        <v>1.1</v>
      </c>
      <c r="E13" s="25" t="n">
        <v>2</v>
      </c>
      <c r="F13" s="27" t="n"/>
      <c r="G13" s="27" t="n"/>
      <c r="H13" s="27" t="n"/>
      <c r="I13" s="27" t="n"/>
    </row>
    <row r="14" ht="30" customFormat="1" customHeight="1" s="8">
      <c r="B14" s="28" t="inlineStr">
        <is>
          <t>Contribution Margin-1</t>
        </is>
      </c>
      <c r="C14" s="14">
        <f>C10-C11-C12-C13</f>
        <v/>
      </c>
      <c r="D14" s="14">
        <f>D10-D11-D12-D13</f>
        <v/>
      </c>
      <c r="E14" s="14">
        <f>E10-E11-E12-E13</f>
        <v/>
      </c>
      <c r="F14" s="14" t="n"/>
      <c r="G14" s="14" t="n"/>
      <c r="H14" s="14" t="n"/>
      <c r="I14" s="14" t="n"/>
    </row>
    <row r="15" ht="30" customHeight="1">
      <c r="B15" s="30" t="inlineStr">
        <is>
          <t>Performance marketing</t>
        </is>
      </c>
      <c r="C15" s="25" t="n">
        <v>4.9</v>
      </c>
      <c r="D15" s="25" t="n">
        <v>11.2</v>
      </c>
      <c r="E15" s="25" t="n">
        <v>18.9</v>
      </c>
      <c r="F15" s="27" t="n"/>
      <c r="G15" s="27" t="n"/>
      <c r="H15" s="27" t="n"/>
      <c r="I15" s="27" t="n"/>
    </row>
    <row r="16" ht="30" customHeight="1">
      <c r="B16" s="13" t="inlineStr">
        <is>
          <t>D2C contribution</t>
        </is>
      </c>
      <c r="C16" s="14">
        <f>C14-C15</f>
        <v/>
      </c>
      <c r="D16" s="14">
        <f>D14-D15</f>
        <v/>
      </c>
      <c r="E16" s="14">
        <f>E14-E15</f>
        <v/>
      </c>
      <c r="F16" s="14" t="n"/>
      <c r="G16" s="14" t="n"/>
      <c r="H16" s="14" t="n"/>
      <c r="I16" s="1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3"/>
  <sheetViews>
    <sheetView showGridLines="0" topLeftCell="A8" zoomScale="135" zoomScaleNormal="100" workbookViewId="0">
      <selection activeCell="I21" sqref="I21"/>
    </sheetView>
  </sheetViews>
  <sheetFormatPr baseColWidth="10" defaultColWidth="8.6640625" defaultRowHeight="30" customHeight="1"/>
  <cols>
    <col width="7" customWidth="1" style="5" min="1" max="1"/>
    <col width="44" customWidth="1" style="5" min="2" max="2"/>
    <col width="14" customWidth="1" style="5" min="3" max="4"/>
    <col width="14" customWidth="1" style="4" min="5" max="9"/>
    <col width="14" customWidth="1" style="5" min="10" max="10"/>
    <col width="8.6640625" customWidth="1" style="5" min="11" max="16384"/>
  </cols>
  <sheetData>
    <row r="1" ht="30" customFormat="1" customHeight="1" s="2">
      <c r="A1" s="11" t="inlineStr">
        <is>
          <t>Consolidated financials</t>
        </is>
      </c>
      <c r="F1" s="3" t="n"/>
      <c r="G1" s="3" t="n"/>
      <c r="H1" s="3" t="n"/>
      <c r="I1" s="3" t="n"/>
      <c r="J1" s="3" t="n"/>
      <c r="K1" s="3" t="n"/>
      <c r="L1" s="3" t="n"/>
    </row>
    <row r="2" ht="24" customHeight="1">
      <c r="A2" s="12" t="inlineStr">
        <is>
          <t>All figures in ₹ crore</t>
        </is>
      </c>
      <c r="E2" s="5" t="n"/>
      <c r="J2" s="4" t="n"/>
      <c r="K2" s="4" t="n"/>
      <c r="L2" s="4" t="n"/>
    </row>
    <row r="3" ht="30" customHeight="1">
      <c r="E3" s="74" t="n"/>
    </row>
    <row r="4" ht="30" customHeight="1">
      <c r="A4" s="4" t="inlineStr">
        <is>
          <t>x</t>
        </is>
      </c>
      <c r="B4" s="6" t="inlineStr">
        <is>
          <t>Consolidated financials</t>
        </is>
      </c>
      <c r="C4" s="6" t="n"/>
      <c r="D4" s="6" t="n"/>
    </row>
    <row r="5" ht="30" customHeight="1">
      <c r="B5" s="9" t="inlineStr">
        <is>
          <t>Particulars</t>
        </is>
      </c>
      <c r="C5" s="23" t="inlineStr">
        <is>
          <t>FY24</t>
        </is>
      </c>
      <c r="D5" s="23" t="inlineStr">
        <is>
          <t>FY25</t>
        </is>
      </c>
      <c r="E5" s="23" t="inlineStr">
        <is>
          <t>FY26</t>
        </is>
      </c>
      <c r="F5" s="10" t="inlineStr">
        <is>
          <t>FY27</t>
        </is>
      </c>
      <c r="G5" s="10" t="inlineStr">
        <is>
          <t>FY28</t>
        </is>
      </c>
      <c r="H5" s="10" t="inlineStr">
        <is>
          <t>FY29</t>
        </is>
      </c>
      <c r="I5" s="10" t="inlineStr">
        <is>
          <t>FY30</t>
        </is>
      </c>
    </row>
    <row r="6" ht="30" customHeight="1">
      <c r="B6" s="30" t="inlineStr">
        <is>
          <t>Offline revenue</t>
        </is>
      </c>
      <c r="C6" s="27">
        <f>'Offline retail'!C8</f>
        <v/>
      </c>
      <c r="D6" s="27">
        <f>'Offline retail'!D8</f>
        <v/>
      </c>
      <c r="E6" s="27">
        <f>'Offline retail'!E8</f>
        <v/>
      </c>
      <c r="F6" s="27" t="n"/>
      <c r="G6" s="27" t="n"/>
      <c r="H6" s="27" t="n"/>
      <c r="I6" s="27" t="n"/>
    </row>
    <row r="7" ht="30" customHeight="1">
      <c r="B7" s="30" t="inlineStr">
        <is>
          <t>D2C revenue</t>
        </is>
      </c>
      <c r="C7" s="27">
        <f>D2C!C8</f>
        <v/>
      </c>
      <c r="D7" s="27">
        <f>D2C!D8</f>
        <v/>
      </c>
      <c r="E7" s="27">
        <f>D2C!E8</f>
        <v/>
      </c>
      <c r="F7" s="27" t="n"/>
      <c r="G7" s="27" t="n"/>
      <c r="H7" s="27" t="n"/>
      <c r="I7" s="27" t="n"/>
    </row>
    <row r="8" ht="30" customHeight="1">
      <c r="B8" s="13" t="inlineStr">
        <is>
          <t>Total revenue</t>
        </is>
      </c>
      <c r="C8" s="14">
        <f>C6+C7</f>
        <v/>
      </c>
      <c r="D8" s="14">
        <f>D6+D7</f>
        <v/>
      </c>
      <c r="E8" s="14">
        <f>E6+E7</f>
        <v/>
      </c>
      <c r="F8" s="14" t="n"/>
      <c r="G8" s="14" t="n"/>
      <c r="H8" s="14" t="n"/>
      <c r="I8" s="14" t="n"/>
    </row>
    <row r="9" ht="30" customHeight="1">
      <c r="B9" s="30" t="inlineStr">
        <is>
          <t>Offline contribution</t>
        </is>
      </c>
      <c r="C9" s="27">
        <f>'Offline retail'!C18</f>
        <v/>
      </c>
      <c r="D9" s="27">
        <f>'Offline retail'!D18</f>
        <v/>
      </c>
      <c r="E9" s="27">
        <f>'Offline retail'!E18</f>
        <v/>
      </c>
      <c r="F9" s="27" t="n"/>
      <c r="G9" s="27" t="n"/>
      <c r="H9" s="27" t="n"/>
      <c r="I9" s="27" t="n"/>
    </row>
    <row r="10" ht="30" customHeight="1">
      <c r="B10" s="30" t="inlineStr">
        <is>
          <t>D2C contribution</t>
        </is>
      </c>
      <c r="C10" s="27">
        <f>D2C!C16</f>
        <v/>
      </c>
      <c r="D10" s="27">
        <f>D2C!D16</f>
        <v/>
      </c>
      <c r="E10" s="27">
        <f>D2C!E16</f>
        <v/>
      </c>
      <c r="F10" s="27" t="n"/>
      <c r="G10" s="27" t="n"/>
      <c r="H10" s="27" t="n"/>
      <c r="I10" s="27" t="n"/>
    </row>
    <row r="11" ht="30" customHeight="1">
      <c r="B11" s="13" t="inlineStr">
        <is>
          <t>Total contribution</t>
        </is>
      </c>
      <c r="C11" s="14">
        <f>C9+C10</f>
        <v/>
      </c>
      <c r="D11" s="14">
        <f>D9+D10</f>
        <v/>
      </c>
      <c r="E11" s="14">
        <f>E9+E10</f>
        <v/>
      </c>
      <c r="F11" s="14" t="n"/>
      <c r="G11" s="14" t="n"/>
      <c r="H11" s="14" t="n"/>
      <c r="I11" s="14" t="n"/>
    </row>
    <row r="12" ht="30" customHeight="1">
      <c r="B12" s="7" t="inlineStr">
        <is>
          <t>Head office salaries</t>
        </is>
      </c>
      <c r="C12" s="27" t="n">
        <v>3.1</v>
      </c>
      <c r="D12" s="27" t="n">
        <v>4.7</v>
      </c>
      <c r="E12" s="27" t="n">
        <v>7</v>
      </c>
      <c r="F12" s="27" t="n"/>
      <c r="G12" s="27" t="n"/>
      <c r="H12" s="27" t="n"/>
      <c r="I12" s="27" t="n"/>
    </row>
    <row r="13" ht="30" customHeight="1">
      <c r="B13" s="7" t="inlineStr">
        <is>
          <t>Brand marketing</t>
        </is>
      </c>
      <c r="C13" s="27" t="n">
        <v>1.6</v>
      </c>
      <c r="D13" s="27" t="n">
        <v>2.6</v>
      </c>
      <c r="E13" s="27" t="n">
        <v>4</v>
      </c>
      <c r="F13" s="27" t="n"/>
      <c r="G13" s="27" t="n"/>
      <c r="H13" s="27" t="n"/>
      <c r="I13" s="27" t="n"/>
    </row>
    <row r="14" ht="30" customHeight="1">
      <c r="B14" s="7" t="inlineStr">
        <is>
          <t>Technology and platform</t>
        </is>
      </c>
      <c r="C14" s="27" t="n">
        <v>0.7</v>
      </c>
      <c r="D14" s="27" t="n">
        <v>1.2</v>
      </c>
      <c r="E14" s="27" t="n">
        <v>2</v>
      </c>
      <c r="F14" s="27" t="n"/>
      <c r="G14" s="27" t="n"/>
      <c r="H14" s="27" t="n"/>
      <c r="I14" s="27" t="n"/>
    </row>
    <row r="15" ht="30" customHeight="1">
      <c r="B15" s="7" t="inlineStr">
        <is>
          <t>Other general and administrative</t>
        </is>
      </c>
      <c r="C15" s="27" t="n">
        <v>0.5</v>
      </c>
      <c r="D15" s="27" t="n">
        <v>1</v>
      </c>
      <c r="E15" s="27" t="n">
        <v>1.6</v>
      </c>
      <c r="F15" s="27" t="n"/>
      <c r="G15" s="27" t="n"/>
      <c r="H15" s="27" t="n"/>
      <c r="I15" s="27" t="n"/>
    </row>
    <row r="16" ht="30" customHeight="1">
      <c r="B16" s="13" t="inlineStr">
        <is>
          <t>EBITDA</t>
        </is>
      </c>
      <c r="C16" s="75">
        <f>C11-C12-C13-C14-C15</f>
        <v/>
      </c>
      <c r="D16" s="75">
        <f>D11-D12-D13-D14-D15</f>
        <v/>
      </c>
      <c r="E16" s="75">
        <f>E11-E12-E13-E14-E15</f>
        <v/>
      </c>
      <c r="F16" s="75" t="n"/>
      <c r="G16" s="75" t="n"/>
      <c r="H16" s="75" t="n"/>
      <c r="I16" s="75" t="n"/>
    </row>
    <row r="17" ht="30" customHeight="1">
      <c r="B17" s="30" t="inlineStr">
        <is>
          <t>Depreciation</t>
        </is>
      </c>
      <c r="C17" s="27" t="n">
        <v>0.6</v>
      </c>
      <c r="D17" s="27" t="n">
        <v>1.8</v>
      </c>
      <c r="E17" s="27" t="n">
        <v>3.5</v>
      </c>
      <c r="F17" s="27" t="n"/>
      <c r="G17" s="27" t="n"/>
      <c r="H17" s="27" t="n"/>
      <c r="I17" s="27" t="n"/>
    </row>
    <row r="18" ht="30" customHeight="1">
      <c r="B18" s="13" t="inlineStr">
        <is>
          <t>EBIT</t>
        </is>
      </c>
      <c r="C18" s="75">
        <f>C16-C17</f>
        <v/>
      </c>
      <c r="D18" s="75">
        <f>D16-D17</f>
        <v/>
      </c>
      <c r="E18" s="75">
        <f>E16-E17</f>
        <v/>
      </c>
      <c r="F18" s="75" t="n"/>
      <c r="G18" s="75" t="n"/>
      <c r="H18" s="75" t="n"/>
      <c r="I18" s="75" t="n"/>
    </row>
    <row r="19" ht="30" customFormat="1" customHeight="1" s="68">
      <c r="B19" s="70" t="inlineStr">
        <is>
          <t>Interest</t>
        </is>
      </c>
      <c r="C19" s="76" t="n">
        <v>0</v>
      </c>
      <c r="D19" s="76" t="n">
        <v>0</v>
      </c>
      <c r="E19" s="76" t="n">
        <v>0</v>
      </c>
      <c r="F19" s="76" t="n"/>
      <c r="G19" s="76" t="n"/>
      <c r="H19" s="76" t="n"/>
      <c r="I19" s="76" t="n"/>
    </row>
    <row r="20" ht="30" customFormat="1" customHeight="1" s="69">
      <c r="B20" s="13" t="inlineStr">
        <is>
          <t>Profit before tax</t>
        </is>
      </c>
      <c r="C20" s="75">
        <f>C18-C19</f>
        <v/>
      </c>
      <c r="D20" s="75">
        <f>D18-D19</f>
        <v/>
      </c>
      <c r="E20" s="75">
        <f>E18-E19</f>
        <v/>
      </c>
      <c r="F20" s="75" t="n"/>
      <c r="G20" s="75" t="n"/>
      <c r="H20" s="75" t="n"/>
      <c r="I20" s="75" t="n"/>
    </row>
    <row r="21" ht="30" customHeight="1">
      <c r="B21" s="30" t="inlineStr">
        <is>
          <t>Tax</t>
        </is>
      </c>
      <c r="C21" s="27">
        <f>MAX(0,C20*Assumptions!$C$41)</f>
        <v/>
      </c>
      <c r="D21" s="27">
        <f>MAX(0,D20*Assumptions!$C$41)</f>
        <v/>
      </c>
      <c r="E21" s="27">
        <f>MAX(0,E20*Assumptions!$C$41)</f>
        <v/>
      </c>
      <c r="F21" s="27" t="n"/>
      <c r="G21" s="27" t="n"/>
      <c r="H21" s="27" t="n"/>
      <c r="I21" s="27" t="n"/>
    </row>
    <row r="22" ht="30" customHeight="1">
      <c r="B22" s="28" t="inlineStr">
        <is>
          <t>Profit after tax</t>
        </is>
      </c>
      <c r="C22" s="77">
        <f>C20-C21</f>
        <v/>
      </c>
      <c r="D22" s="77">
        <f>D20-D21</f>
        <v/>
      </c>
      <c r="E22" s="77">
        <f>E20-E21</f>
        <v/>
      </c>
      <c r="F22" s="77" t="n"/>
      <c r="G22" s="77" t="n"/>
      <c r="H22" s="77" t="n"/>
      <c r="I22" s="77" t="n"/>
    </row>
    <row r="23" ht="30" customHeight="1">
      <c r="F23" s="66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10" defaultRowHeight="30" customHeight="1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tabSelected="1" zoomScaleNormal="100" workbookViewId="0">
      <selection activeCell="A1" sqref="A1"/>
    </sheetView>
  </sheetViews>
  <sheetFormatPr baseColWidth="10" defaultColWidth="8.6640625" defaultRowHeight="30" customHeight="1"/>
  <cols>
    <col width="5.33203125" customWidth="1" style="4" min="1" max="1"/>
    <col width="44" customWidth="1" style="5" min="2" max="2"/>
    <col width="19.5" customWidth="1" style="4" min="3" max="3"/>
    <col width="17" customWidth="1" style="4" min="4" max="6"/>
    <col width="17" customWidth="1" style="5" min="7" max="7"/>
    <col width="8.6640625" customWidth="1" style="5" min="8" max="8"/>
    <col width="20.1640625" bestFit="1" customWidth="1" style="5" min="9" max="9"/>
    <col width="23" customWidth="1" style="5" min="10" max="12"/>
    <col width="8.6640625" customWidth="1" style="5" min="13" max="16384"/>
  </cols>
  <sheetData>
    <row r="1" ht="30" customFormat="1" customHeight="1" s="2">
      <c r="A1" s="15" t="inlineStr">
        <is>
          <t>Discounted Cash Flow Valuation (FCFE)</t>
        </is>
      </c>
      <c r="C1" s="3" t="n"/>
      <c r="D1" s="3" t="n"/>
      <c r="E1" s="3" t="n"/>
      <c r="F1" s="3" t="n"/>
      <c r="G1" s="3" t="n"/>
      <c r="H1" s="3" t="n"/>
      <c r="I1" s="3" t="n"/>
      <c r="J1" s="3" t="n"/>
    </row>
    <row r="2" ht="24" customHeight="1">
      <c r="A2" s="16" t="inlineStr">
        <is>
          <t>All figures in ₹ crore</t>
        </is>
      </c>
      <c r="G2" s="4" t="n"/>
      <c r="H2" s="4" t="n"/>
      <c r="I2" s="4" t="n"/>
      <c r="J2" s="4" t="n"/>
    </row>
    <row r="3" ht="30" customFormat="1" customHeight="1" s="2">
      <c r="A3" s="3" t="n"/>
      <c r="C3" s="3" t="n"/>
      <c r="D3" s="3" t="n"/>
      <c r="E3" s="3" t="n"/>
      <c r="F3" s="3" t="n"/>
    </row>
    <row r="4" ht="30" customFormat="1" customHeight="1" s="52">
      <c r="A4" s="51" t="inlineStr">
        <is>
          <t>x</t>
        </is>
      </c>
      <c r="B4" s="52" t="inlineStr">
        <is>
          <t>Discounting factor</t>
        </is>
      </c>
      <c r="C4" s="78" t="n"/>
      <c r="D4" s="51" t="n"/>
      <c r="E4" s="51" t="n"/>
      <c r="F4" s="51" t="n"/>
    </row>
    <row r="5" ht="30" customFormat="1" customHeight="1" s="52">
      <c r="A5" s="51" t="inlineStr">
        <is>
          <t>x</t>
        </is>
      </c>
      <c r="B5" s="52" t="inlineStr">
        <is>
          <t>Terminal growth rate</t>
        </is>
      </c>
      <c r="C5" s="78" t="n"/>
      <c r="D5" s="51" t="n"/>
      <c r="E5" s="51" t="n"/>
      <c r="F5" s="51" t="n"/>
    </row>
    <row r="6" ht="30" customHeight="1">
      <c r="H6" s="52" t="n"/>
      <c r="I6" s="52" t="n"/>
      <c r="J6" s="52" t="n"/>
      <c r="K6" s="52" t="n"/>
      <c r="L6" s="52" t="n"/>
      <c r="M6" s="52" t="n"/>
    </row>
    <row r="7" ht="30" customHeight="1">
      <c r="A7" s="4" t="inlineStr">
        <is>
          <t>x</t>
        </is>
      </c>
      <c r="B7" s="6" t="inlineStr">
        <is>
          <t>Calculating value of Wanderly using DCF</t>
        </is>
      </c>
      <c r="H7" s="52" t="n"/>
      <c r="I7" s="52" t="n"/>
      <c r="J7" s="52" t="n"/>
      <c r="K7" s="52" t="n"/>
      <c r="L7" s="52" t="n"/>
      <c r="M7" s="52" t="n"/>
    </row>
    <row r="8" ht="30" customHeight="1">
      <c r="B8" s="9" t="inlineStr">
        <is>
          <t>Particulars</t>
        </is>
      </c>
      <c r="C8" s="10" t="inlineStr">
        <is>
          <t>FY27</t>
        </is>
      </c>
      <c r="D8" s="10" t="inlineStr">
        <is>
          <t>FY28</t>
        </is>
      </c>
      <c r="E8" s="10" t="inlineStr">
        <is>
          <t>FY29</t>
        </is>
      </c>
      <c r="F8" s="10" t="inlineStr">
        <is>
          <t>FY30</t>
        </is>
      </c>
      <c r="H8" s="52" t="n"/>
      <c r="I8" s="52" t="n"/>
      <c r="J8" s="52" t="n"/>
      <c r="K8" s="52" t="n"/>
      <c r="L8" s="52" t="n"/>
      <c r="M8" s="52" t="n"/>
    </row>
    <row r="9" ht="30" customHeight="1">
      <c r="B9" s="28" t="inlineStr">
        <is>
          <t>Profit after tax</t>
        </is>
      </c>
      <c r="C9" s="29" t="n"/>
      <c r="D9" s="29" t="n"/>
      <c r="E9" s="29" t="n"/>
      <c r="F9" s="29" t="n"/>
      <c r="H9" s="52" t="n"/>
      <c r="I9" s="52" t="n"/>
      <c r="J9" s="52" t="n"/>
      <c r="K9" s="52" t="n"/>
      <c r="L9" s="52" t="n"/>
      <c r="M9" s="52" t="n"/>
    </row>
    <row r="10" ht="30" customHeight="1">
      <c r="B10" s="30" t="inlineStr">
        <is>
          <t>Add: non-cash expenses</t>
        </is>
      </c>
      <c r="C10" s="27" t="n"/>
      <c r="D10" s="27" t="n"/>
      <c r="E10" s="27" t="n"/>
      <c r="F10" s="27" t="n"/>
      <c r="H10" s="52" t="n"/>
      <c r="I10" s="52" t="n"/>
      <c r="J10" s="52" t="n"/>
      <c r="K10" s="52" t="n"/>
      <c r="L10" s="52" t="n"/>
      <c r="M10" s="52" t="n"/>
    </row>
    <row r="11" ht="30" customHeight="1">
      <c r="B11" s="28" t="inlineStr">
        <is>
          <t>Cash profit (for equity holders)</t>
        </is>
      </c>
      <c r="C11" s="29" t="n"/>
      <c r="D11" s="29" t="n"/>
      <c r="E11" s="29" t="n"/>
      <c r="F11" s="29" t="n"/>
      <c r="H11" s="52" t="n"/>
      <c r="I11" s="52" t="n"/>
      <c r="J11" s="52" t="n"/>
      <c r="K11" s="52" t="n"/>
      <c r="L11" s="52" t="n"/>
      <c r="M11" s="52" t="n"/>
    </row>
    <row r="12" ht="30" customHeight="1">
      <c r="B12" s="30" t="inlineStr">
        <is>
          <t>Less: Additional working capital required</t>
        </is>
      </c>
      <c r="C12" s="27" t="n"/>
      <c r="D12" s="27" t="n"/>
      <c r="E12" s="27" t="n"/>
      <c r="F12" s="27" t="n"/>
      <c r="H12" s="52" t="n"/>
      <c r="I12" s="52" t="n"/>
      <c r="J12" s="52" t="n"/>
      <c r="K12" s="52" t="n"/>
      <c r="L12" s="52" t="n"/>
      <c r="M12" s="52" t="n"/>
    </row>
    <row r="13" ht="30" customHeight="1">
      <c r="B13" s="30" t="inlineStr">
        <is>
          <t>Less: Capex for warehouse racking and packing line</t>
        </is>
      </c>
      <c r="C13" s="25" t="n"/>
      <c r="D13" s="25" t="n"/>
      <c r="E13" s="25" t="n"/>
      <c r="F13" s="25" t="n"/>
    </row>
    <row r="14" ht="30" customFormat="1" customHeight="1" s="8">
      <c r="A14" s="17" t="n"/>
      <c r="B14" s="28" t="inlineStr">
        <is>
          <t>Free cash flows for equity (FCFE)</t>
        </is>
      </c>
      <c r="C14" s="29" t="n"/>
      <c r="D14" s="29" t="n"/>
      <c r="E14" s="29" t="n"/>
      <c r="F14" s="29" t="n"/>
    </row>
    <row r="15" ht="30" customHeight="1">
      <c r="B15" s="43" t="inlineStr">
        <is>
          <t>Terminal value</t>
        </is>
      </c>
      <c r="C15" s="44" t="n"/>
      <c r="D15" s="44" t="n"/>
      <c r="E15" s="44" t="n"/>
      <c r="F15" s="44" t="n"/>
    </row>
    <row r="16" ht="30" customHeight="1">
      <c r="B16" s="30" t="n"/>
      <c r="C16" s="35" t="n"/>
      <c r="D16" s="35" t="n"/>
      <c r="E16" s="35" t="n"/>
      <c r="F16" s="35" t="n"/>
    </row>
    <row r="17" ht="30" customHeight="1">
      <c r="A17" s="4" t="inlineStr">
        <is>
          <t>x</t>
        </is>
      </c>
      <c r="B17" s="30" t="inlineStr">
        <is>
          <t>Years to discount</t>
        </is>
      </c>
      <c r="C17" s="25" t="n"/>
      <c r="D17" s="25" t="n"/>
      <c r="E17" s="25" t="n"/>
      <c r="F17" s="25" t="n"/>
    </row>
    <row r="18" ht="30" customHeight="1">
      <c r="B18" s="30" t="inlineStr">
        <is>
          <t>Discounting factor</t>
        </is>
      </c>
      <c r="C18" s="36" t="n"/>
      <c r="D18" s="36" t="n"/>
      <c r="E18" s="36" t="n"/>
      <c r="F18" s="36" t="n"/>
    </row>
    <row r="19" ht="30" customHeight="1">
      <c r="B19" s="30" t="n"/>
      <c r="C19" s="35" t="n"/>
      <c r="D19" s="35" t="n"/>
      <c r="E19" s="35" t="n"/>
      <c r="F19" s="35" t="n"/>
      <c r="J19" s="53" t="n"/>
    </row>
    <row r="20" ht="30" customHeight="1">
      <c r="A20" s="4" t="inlineStr">
        <is>
          <t>x</t>
        </is>
      </c>
      <c r="B20" s="28" t="inlineStr">
        <is>
          <t>Present value of free cash flows</t>
        </is>
      </c>
      <c r="C20" s="29" t="n"/>
      <c r="D20" s="29" t="n"/>
      <c r="E20" s="29" t="n"/>
      <c r="F20" s="29" t="n"/>
      <c r="J20" s="53" t="n"/>
    </row>
    <row r="21" ht="30" customHeight="1">
      <c r="B21" s="43" t="inlineStr">
        <is>
          <t>Present value of terminal value</t>
        </is>
      </c>
      <c r="C21" s="44" t="n"/>
      <c r="D21" s="44" t="n"/>
      <c r="E21" s="44" t="n"/>
      <c r="F21" s="44" t="n"/>
      <c r="J21" s="53" t="n"/>
    </row>
    <row r="22" ht="30" customHeight="1">
      <c r="B22" s="30" t="n"/>
      <c r="C22" s="35" t="n"/>
      <c r="D22" s="35" t="n"/>
      <c r="E22" s="35" t="n"/>
      <c r="F22" s="35" t="n"/>
      <c r="J22" s="53" t="n"/>
    </row>
    <row r="23" ht="30" customHeight="1">
      <c r="A23" s="4" t="inlineStr">
        <is>
          <t>x</t>
        </is>
      </c>
      <c r="B23" s="28" t="inlineStr">
        <is>
          <t>Equity value as per DCF</t>
        </is>
      </c>
      <c r="C23" s="29" t="n"/>
      <c r="D23" s="46" t="n"/>
      <c r="E23" s="46" t="n"/>
      <c r="F23" s="46" t="n"/>
    </row>
    <row r="24" ht="30" customFormat="1" customHeight="1" s="54">
      <c r="K24" s="66" t="n"/>
    </row>
    <row r="25" ht="30" customHeight="1">
      <c r="A25" s="4" t="inlineStr">
        <is>
          <t>x</t>
        </is>
      </c>
      <c r="B25" s="37" t="inlineStr">
        <is>
          <t>Calculating Net Present Value (NPV)</t>
        </is>
      </c>
      <c r="D25" s="65" t="n"/>
      <c r="E25" s="65" t="n"/>
      <c r="F25" s="65" t="n"/>
      <c r="G25" s="65" t="n"/>
      <c r="H25" s="65" t="n"/>
    </row>
    <row r="26" ht="30" customHeight="1">
      <c r="B26" s="9" t="inlineStr">
        <is>
          <t>Particulars</t>
        </is>
      </c>
      <c r="C26" s="58" t="n">
        <v>46112</v>
      </c>
      <c r="D26" s="65" t="n"/>
      <c r="E26" s="65" t="n"/>
      <c r="F26" s="65" t="n"/>
      <c r="G26" s="65" t="n"/>
      <c r="H26" s="65" t="n"/>
    </row>
    <row r="27" ht="30" customHeight="1">
      <c r="B27" s="56" t="inlineStr">
        <is>
          <t>Investor's preferred value</t>
        </is>
      </c>
      <c r="C27" s="57" t="n"/>
      <c r="D27" s="65" t="n"/>
      <c r="E27" s="65" t="n"/>
      <c r="F27" s="65" t="n"/>
      <c r="G27" s="65" t="n"/>
      <c r="H27" s="65" t="n"/>
    </row>
    <row r="28" ht="30" customHeight="1">
      <c r="B28" s="56" t="inlineStr">
        <is>
          <t>Founder's preferred value</t>
        </is>
      </c>
      <c r="C28" s="79" t="n"/>
      <c r="D28" s="65" t="n"/>
      <c r="E28" s="65" t="n"/>
      <c r="F28" s="65" t="n"/>
      <c r="G28" s="65" t="n"/>
      <c r="H28" s="65" t="n"/>
    </row>
    <row r="29" ht="30" customHeight="1">
      <c r="B29" s="28" t="inlineStr">
        <is>
          <t>Net present Value (NPV)</t>
        </is>
      </c>
      <c r="C29" s="73" t="n"/>
      <c r="D29" s="54" t="n"/>
      <c r="E29" s="54" t="n"/>
      <c r="F29" s="54" t="n"/>
    </row>
    <row r="30" ht="30" customHeight="1">
      <c r="A30" s="54" t="n"/>
      <c r="B30" s="54" t="n"/>
      <c r="C30" s="54" t="n"/>
      <c r="D30" s="54" t="n"/>
      <c r="E30" s="54" t="n"/>
      <c r="F30" s="54" t="n"/>
    </row>
    <row r="31" ht="30" customHeight="1">
      <c r="A31" s="4" t="inlineStr">
        <is>
          <t>x</t>
        </is>
      </c>
      <c r="B31" s="37" t="inlineStr">
        <is>
          <t>Calculating Internal Rate of Return (IRR)</t>
        </is>
      </c>
    </row>
    <row r="32" ht="30" customHeight="1">
      <c r="B32" s="9" t="inlineStr">
        <is>
          <t>Particulars</t>
        </is>
      </c>
      <c r="C32" s="58" t="n">
        <v>46112</v>
      </c>
      <c r="D32" s="58" t="n">
        <v>46477</v>
      </c>
      <c r="E32" s="58" t="n">
        <v>46843</v>
      </c>
      <c r="F32" s="58" t="n">
        <v>47208</v>
      </c>
      <c r="G32" s="58" t="n">
        <v>47573</v>
      </c>
    </row>
    <row r="33" ht="30" customHeight="1">
      <c r="B33" s="56" t="inlineStr">
        <is>
          <t>Cash flows</t>
        </is>
      </c>
      <c r="C33" s="57" t="n"/>
      <c r="D33" s="57" t="n"/>
      <c r="E33" s="57" t="n"/>
      <c r="F33" s="57" t="n"/>
      <c r="G33" s="57" t="n"/>
    </row>
    <row r="34" ht="30" customHeight="1">
      <c r="B34" s="28" t="inlineStr">
        <is>
          <t>Internal Rate of Return (IRR)</t>
        </is>
      </c>
      <c r="C34" s="59" t="n"/>
      <c r="D34" s="54" t="n"/>
      <c r="E34" s="54" t="n"/>
      <c r="F34" s="54" t="n"/>
    </row>
    <row r="36" ht="30" customHeight="1">
      <c r="A36" s="4" t="inlineStr">
        <is>
          <t>x</t>
        </is>
      </c>
      <c r="B36" s="37" t="inlineStr">
        <is>
          <t>Scenarios</t>
        </is>
      </c>
    </row>
    <row r="37" ht="30" customHeight="1">
      <c r="B37" s="18" t="inlineStr">
        <is>
          <t>Case</t>
        </is>
      </c>
      <c r="C37" s="20" t="inlineStr">
        <is>
          <t>Multiple of base</t>
        </is>
      </c>
      <c r="D37" s="20" t="inlineStr">
        <is>
          <t>Valuation</t>
        </is>
      </c>
    </row>
    <row r="38" ht="30" customHeight="1">
      <c r="B38" s="38" t="inlineStr">
        <is>
          <t>Upside</t>
        </is>
      </c>
      <c r="C38" s="25" t="n"/>
      <c r="D38" s="80" t="n"/>
    </row>
    <row r="39" ht="30" customHeight="1">
      <c r="B39" s="38" t="inlineStr">
        <is>
          <t>Base</t>
        </is>
      </c>
      <c r="C39" s="25" t="n"/>
      <c r="D39" s="80" t="n"/>
    </row>
    <row r="40" ht="30" customHeight="1">
      <c r="B40" s="38" t="inlineStr">
        <is>
          <t>Downside</t>
        </is>
      </c>
      <c r="C40" s="25" t="n"/>
      <c r="D40" s="80" t="n"/>
    </row>
    <row r="42" ht="30" customHeight="1">
      <c r="A42" s="4" t="inlineStr">
        <is>
          <t>x</t>
        </is>
      </c>
      <c r="B42" s="37" t="inlineStr">
        <is>
          <t>Working for working capital</t>
        </is>
      </c>
    </row>
    <row r="43" ht="30" customHeight="1">
      <c r="B43" s="18" t="inlineStr">
        <is>
          <t>Particulars</t>
        </is>
      </c>
      <c r="C43" s="23" t="inlineStr">
        <is>
          <t>FY26</t>
        </is>
      </c>
      <c r="D43" s="10" t="inlineStr">
        <is>
          <t>FY27</t>
        </is>
      </c>
      <c r="E43" s="10" t="inlineStr">
        <is>
          <t>FY28</t>
        </is>
      </c>
      <c r="F43" s="10" t="inlineStr">
        <is>
          <t>FY29</t>
        </is>
      </c>
      <c r="G43" s="10" t="inlineStr">
        <is>
          <t>FY30</t>
        </is>
      </c>
    </row>
    <row r="44" ht="30" customHeight="1">
      <c r="B44" s="38" t="inlineStr">
        <is>
          <t>Working capital</t>
        </is>
      </c>
      <c r="C44" s="50" t="n"/>
      <c r="D44" s="39" t="n"/>
      <c r="E44" s="39" t="n"/>
      <c r="F44" s="39" t="n"/>
      <c r="G44" s="39" t="n"/>
    </row>
    <row r="45" ht="30" customHeight="1">
      <c r="B45" s="41" t="inlineStr">
        <is>
          <t>Increase</t>
        </is>
      </c>
      <c r="C45" s="42" t="n"/>
      <c r="D45" s="42" t="n"/>
      <c r="E45" s="42" t="n"/>
      <c r="F45" s="42" t="n"/>
      <c r="G45" s="42" t="n"/>
    </row>
    <row r="48" ht="30" customHeight="1">
      <c r="B48" s="60" t="n"/>
      <c r="C48" s="61" t="n"/>
      <c r="D48" s="61" t="n"/>
      <c r="E48" s="61" t="n"/>
    </row>
    <row r="49" ht="30" customHeight="1">
      <c r="B49" s="62" t="n"/>
      <c r="C49" s="63" t="n"/>
      <c r="D49" s="63" t="n"/>
      <c r="E49" s="63" t="n"/>
    </row>
    <row r="50" ht="30" customHeight="1">
      <c r="B50" s="64" t="n"/>
      <c r="C50" s="63" t="n"/>
      <c r="D50" s="63" t="n"/>
      <c r="E50" s="63" t="n"/>
    </row>
    <row r="51" ht="30" customHeight="1">
      <c r="B51" s="62" t="n"/>
      <c r="C51" s="63" t="n"/>
      <c r="D51" s="63" t="n"/>
      <c r="E51" s="63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zoomScaleNormal="100" workbookViewId="0">
      <selection activeCell="A1" sqref="A1"/>
    </sheetView>
  </sheetViews>
  <sheetFormatPr baseColWidth="10" defaultColWidth="8.6640625" defaultRowHeight="30" customHeight="1"/>
  <cols>
    <col width="8.6640625" customWidth="1" style="5" min="1" max="1"/>
    <col width="40" customWidth="1" style="5" min="2" max="2"/>
    <col width="46.5" customWidth="1" style="4" min="3" max="3"/>
    <col width="23.5" customWidth="1" style="4" min="4" max="9"/>
    <col width="8.6640625" customWidth="1" style="5" min="10" max="16384"/>
  </cols>
  <sheetData>
    <row r="1" ht="30" customFormat="1" customHeight="1" s="2">
      <c r="A1" s="15" t="inlineStr">
        <is>
          <t>Relative Valuation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30" customFormat="1" customHeight="1" s="2"/>
    <row r="3" ht="30" customFormat="1" customHeight="1" s="2"/>
    <row r="4" ht="30" customFormat="1" customHeight="1" s="2"/>
    <row r="5" ht="30" customFormat="1" customHeight="1" s="2"/>
    <row r="6" ht="30" customFormat="1" customHeight="1" s="2"/>
    <row r="7" ht="30" customFormat="1" customHeight="1" s="2"/>
    <row r="8" ht="30" customFormat="1" customHeight="1" s="2"/>
    <row r="9" ht="30" customFormat="1" customHeight="1" s="2"/>
    <row r="10" ht="30" customFormat="1" customHeight="1" s="2"/>
    <row r="11" ht="30" customFormat="1" customHeight="1" s="2"/>
    <row r="12" ht="30" customFormat="1" customHeight="1" s="2"/>
    <row r="13" ht="30" customFormat="1" customHeight="1" s="2"/>
    <row r="14" ht="30" customFormat="1" customHeight="1" s="2"/>
  </sheetData>
  <pageMargins left="0.75" right="0.75" top="1" bottom="1" header="0.511811023622047" footer="0.511811023622047"/>
  <pageSetup orientation="portrait" paperSize="9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selection activeCell="A1" sqref="A1"/>
    </sheetView>
  </sheetViews>
  <sheetFormatPr baseColWidth="10" defaultRowHeight="30" customHeight="1"/>
  <sheetData>
    <row r="1" ht="30" customFormat="1" customHeight="1" s="2">
      <c r="A1" s="15" t="inlineStr">
        <is>
          <t>Sum of parts valuation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  <row r="2" ht="30" customFormat="1" customHeight="1" s="48">
      <c r="A2" s="47" t="n"/>
      <c r="D2" s="49" t="n"/>
      <c r="E2" s="49" t="n"/>
      <c r="F2" s="49" t="n"/>
      <c r="G2" s="49" t="n"/>
      <c r="H2" s="49" t="n"/>
      <c r="I2" s="49" t="n"/>
      <c r="J2" s="49" t="n"/>
      <c r="K2" s="49" t="n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15"/>
  <cols>
    <col width="10.83203125" customWidth="1" min="1" max="1"/>
  </cols>
  <sheetData>
    <row r="1" ht="30" customFormat="1" customHeight="1" s="2">
      <c r="A1" s="15" t="inlineStr">
        <is>
          <t>First Chicago Method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15"/>
  <cols>
    <col width="10.83203125" customWidth="1" min="1" max="1"/>
  </cols>
  <sheetData>
    <row r="1" ht="30" customFormat="1" customHeight="1" s="2">
      <c r="A1" s="15" t="inlineStr">
        <is>
          <t>First Chicago Method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"/>
  <sheetViews>
    <sheetView showGridLines="0" workbookViewId="0">
      <selection activeCell="A1" sqref="A1"/>
    </sheetView>
  </sheetViews>
  <sheetFormatPr baseColWidth="10" defaultRowHeight="30" customHeight="1"/>
  <cols>
    <col width="10.83203125" customWidth="1" style="2" min="1" max="16384"/>
  </cols>
  <sheetData>
    <row r="1" ht="30" customHeight="1">
      <c r="A1" s="15" t="inlineStr">
        <is>
          <t>Football field</t>
        </is>
      </c>
      <c r="D1" s="3" t="n"/>
      <c r="E1" s="3" t="n"/>
      <c r="F1" s="3" t="n"/>
      <c r="G1" s="3" t="n"/>
      <c r="H1" s="3" t="n"/>
      <c r="I1" s="3" t="n"/>
      <c r="J1" s="3" t="n"/>
      <c r="K1" s="3" t="n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tabColor theme="2" tint="-0.8999908444471572"/>
    <outlinePr summaryBelow="1" summaryRight="1"/>
    <pageSetUpPr/>
  </sheetPr>
  <dimension ref="A1:K44"/>
  <sheetViews>
    <sheetView showGridLines="0" zoomScaleNormal="100" workbookViewId="0">
      <selection activeCell="A1" sqref="A1"/>
    </sheetView>
  </sheetViews>
  <sheetFormatPr baseColWidth="10" defaultRowHeight="30" customHeight="1"/>
  <cols>
    <col width="6.5" customWidth="1" style="4" min="1" max="1"/>
    <col width="63.33203125" bestFit="1" customWidth="1" style="5" min="2" max="2"/>
    <col width="14.6640625" customWidth="1" style="4" min="3" max="6"/>
    <col width="10.83203125" customWidth="1" style="5" min="7" max="16384"/>
  </cols>
  <sheetData>
    <row r="1" ht="30" customFormat="1" customHeight="1" s="2">
      <c r="A1" s="15" t="inlineStr">
        <is>
          <t>Assumptions Sheet</t>
        </is>
      </c>
      <c r="C1" s="3" t="n"/>
      <c r="D1" s="3" t="n"/>
      <c r="E1" s="3" t="n"/>
      <c r="F1" s="3" t="n"/>
      <c r="G1" s="3" t="n"/>
      <c r="H1" s="3" t="n"/>
      <c r="I1" s="3" t="n"/>
      <c r="J1" s="3" t="n"/>
      <c r="K1" s="3" t="n"/>
    </row>
    <row r="2" ht="24" customHeight="1">
      <c r="A2" s="16" t="n"/>
      <c r="G2" s="4" t="n"/>
      <c r="H2" s="4" t="n"/>
      <c r="I2" s="4" t="n"/>
      <c r="J2" s="4" t="n"/>
      <c r="K2" s="4" t="n"/>
    </row>
    <row r="3" ht="30" customFormat="1" customHeight="1" s="2">
      <c r="A3" s="3" t="n"/>
      <c r="C3" s="3" t="n"/>
      <c r="D3" s="3" t="n"/>
      <c r="E3" s="3" t="n"/>
      <c r="F3" s="3" t="n"/>
    </row>
    <row r="4" ht="30" customFormat="1" customHeight="1" s="22">
      <c r="A4" s="21" t="inlineStr">
        <is>
          <t>x</t>
        </is>
      </c>
      <c r="B4" s="22" t="inlineStr">
        <is>
          <t>Offline retail</t>
        </is>
      </c>
      <c r="C4" s="21" t="n"/>
      <c r="D4" s="21" t="n"/>
      <c r="E4" s="21" t="n"/>
      <c r="F4" s="21" t="n"/>
    </row>
    <row r="5" ht="30" customHeight="1">
      <c r="B5" s="9" t="inlineStr">
        <is>
          <t>Particulars</t>
        </is>
      </c>
      <c r="C5" s="10" t="inlineStr">
        <is>
          <t>FY27</t>
        </is>
      </c>
      <c r="D5" s="10" t="inlineStr">
        <is>
          <t>FY28</t>
        </is>
      </c>
      <c r="E5" s="10" t="inlineStr">
        <is>
          <t>FY29</t>
        </is>
      </c>
      <c r="F5" s="10" t="inlineStr">
        <is>
          <t>FY30</t>
        </is>
      </c>
    </row>
    <row r="6" ht="30" customHeight="1">
      <c r="B6" s="7" t="inlineStr">
        <is>
          <t>Bags revenue growth (YoY)</t>
        </is>
      </c>
      <c r="C6" s="45" t="n">
        <v>0.38</v>
      </c>
      <c r="D6" s="45" t="n">
        <v>0.3</v>
      </c>
      <c r="E6" s="45" t="n">
        <v>0.24</v>
      </c>
      <c r="F6" s="45" t="n">
        <v>0.18</v>
      </c>
    </row>
    <row r="7" ht="30" customHeight="1">
      <c r="B7" s="7" t="inlineStr">
        <is>
          <t>Accessories revenue growth (YoY)</t>
        </is>
      </c>
      <c r="C7" s="45" t="n">
        <v>0.48</v>
      </c>
      <c r="D7" s="45" t="n">
        <v>0.38</v>
      </c>
      <c r="E7" s="45" t="n">
        <v>0.3</v>
      </c>
      <c r="F7" s="45" t="n">
        <v>0.24</v>
      </c>
    </row>
    <row r="8" ht="30" customHeight="1">
      <c r="B8" s="7" t="inlineStr">
        <is>
          <t>Gross margin (% of revenue)</t>
        </is>
      </c>
      <c r="C8" s="45" t="n">
        <v>0.48</v>
      </c>
      <c r="D8" s="45" t="n">
        <v>0.49</v>
      </c>
      <c r="E8" s="45" t="n">
        <v>0.5</v>
      </c>
      <c r="F8" s="45" t="n">
        <v>0.5</v>
      </c>
    </row>
    <row r="9" ht="30" customHeight="1">
      <c r="B9" s="7" t="inlineStr">
        <is>
          <t>Packaging (% of revenue)</t>
        </is>
      </c>
      <c r="C9" s="45" t="n">
        <v>0.012</v>
      </c>
      <c r="D9" s="45" t="n">
        <v>0.012</v>
      </c>
      <c r="E9" s="45" t="n">
        <v>0.012</v>
      </c>
      <c r="F9" s="45" t="n">
        <v>0.012</v>
      </c>
    </row>
    <row r="10" ht="30" customHeight="1">
      <c r="B10" s="7" t="inlineStr">
        <is>
          <t>Payment gateway (% of revenue)</t>
        </is>
      </c>
      <c r="C10" s="45" t="n">
        <v>0.01</v>
      </c>
      <c r="D10" s="45" t="n">
        <v>0.01</v>
      </c>
      <c r="E10" s="45" t="n">
        <v>0.01</v>
      </c>
      <c r="F10" s="45" t="n">
        <v>0.01</v>
      </c>
    </row>
    <row r="11" ht="30" customHeight="1">
      <c r="B11" s="7" t="inlineStr">
        <is>
          <t>Performance marketing (% of revenue)</t>
        </is>
      </c>
      <c r="C11" s="45" t="n">
        <v>0.045</v>
      </c>
      <c r="D11" s="45" t="n">
        <v>0.045</v>
      </c>
      <c r="E11" s="45" t="n">
        <v>0.045</v>
      </c>
      <c r="F11" s="45" t="n">
        <v>0.045</v>
      </c>
    </row>
    <row r="12" ht="30" customHeight="1">
      <c r="B12" s="7" t="inlineStr">
        <is>
          <t>Store rent (YoY)</t>
        </is>
      </c>
      <c r="C12" s="45" t="n">
        <v>0.28</v>
      </c>
      <c r="D12" s="45" t="n">
        <v>0.22</v>
      </c>
      <c r="E12" s="45" t="n">
        <v>0.18</v>
      </c>
      <c r="F12" s="45" t="n">
        <v>0.14</v>
      </c>
    </row>
    <row r="13" ht="30" customHeight="1">
      <c r="B13" s="7" t="inlineStr">
        <is>
          <t>Store staff (YoY)</t>
        </is>
      </c>
      <c r="C13" s="45" t="n">
        <v>0.3</v>
      </c>
      <c r="D13" s="45" t="n">
        <v>0.24</v>
      </c>
      <c r="E13" s="45" t="n">
        <v>0.2</v>
      </c>
      <c r="F13" s="45" t="n">
        <v>0.16</v>
      </c>
    </row>
    <row r="15" ht="30" customFormat="1" customHeight="1" s="8">
      <c r="A15" s="17" t="inlineStr">
        <is>
          <t>x</t>
        </is>
      </c>
      <c r="B15" s="6" t="inlineStr">
        <is>
          <t>D2C</t>
        </is>
      </c>
      <c r="C15" s="17" t="n"/>
      <c r="D15" s="17" t="n"/>
      <c r="E15" s="17" t="n"/>
      <c r="F15" s="17" t="n"/>
    </row>
    <row r="16" ht="30" customHeight="1">
      <c r="B16" s="18" t="inlineStr">
        <is>
          <t>Particulars</t>
        </is>
      </c>
      <c r="C16" s="20" t="inlineStr">
        <is>
          <t>FY27</t>
        </is>
      </c>
      <c r="D16" s="20" t="inlineStr">
        <is>
          <t>FY28</t>
        </is>
      </c>
      <c r="E16" s="20" t="inlineStr">
        <is>
          <t>FY29</t>
        </is>
      </c>
      <c r="F16" s="20" t="inlineStr">
        <is>
          <t>FY30</t>
        </is>
      </c>
    </row>
    <row r="17" ht="30" customHeight="1">
      <c r="B17" s="19" t="inlineStr">
        <is>
          <t>Bags revenue growth (YoY)</t>
        </is>
      </c>
      <c r="C17" s="45" t="n">
        <v>0.42</v>
      </c>
      <c r="D17" s="45" t="n">
        <v>0.34</v>
      </c>
      <c r="E17" s="45" t="n">
        <v>0.26</v>
      </c>
      <c r="F17" s="45" t="n">
        <v>0.2</v>
      </c>
    </row>
    <row r="18" ht="30" customHeight="1">
      <c r="B18" s="19" t="inlineStr">
        <is>
          <t>Accessories revenue growth (YoY)</t>
        </is>
      </c>
      <c r="C18" s="45" t="n">
        <v>0.52</v>
      </c>
      <c r="D18" s="45" t="n">
        <v>0.4</v>
      </c>
      <c r="E18" s="45" t="n">
        <v>0.3</v>
      </c>
      <c r="F18" s="45" t="n">
        <v>0.24</v>
      </c>
    </row>
    <row r="19" ht="30" customHeight="1">
      <c r="B19" s="19" t="inlineStr">
        <is>
          <t>Gross margin (% of revenue)</t>
        </is>
      </c>
      <c r="C19" s="45" t="n">
        <v>0.54</v>
      </c>
      <c r="D19" s="45" t="n">
        <v>0.54</v>
      </c>
      <c r="E19" s="45" t="n">
        <v>0.54</v>
      </c>
      <c r="F19" s="45" t="n">
        <v>0.54</v>
      </c>
    </row>
    <row r="20" ht="30" customHeight="1">
      <c r="B20" s="19" t="inlineStr">
        <is>
          <t>Packaging (% of revenue)</t>
        </is>
      </c>
      <c r="C20" s="45" t="n">
        <v>0.015</v>
      </c>
      <c r="D20" s="45" t="n">
        <v>0.015</v>
      </c>
      <c r="E20" s="45" t="n">
        <v>0.015</v>
      </c>
      <c r="F20" s="45" t="n">
        <v>0.015</v>
      </c>
    </row>
    <row r="21" ht="30" customHeight="1">
      <c r="B21" s="19" t="inlineStr">
        <is>
          <t>Payment gateway (% of revenue)</t>
        </is>
      </c>
      <c r="C21" s="45" t="n">
        <v>0.012</v>
      </c>
      <c r="D21" s="45" t="n">
        <v>0.012</v>
      </c>
      <c r="E21" s="45" t="n">
        <v>0.012</v>
      </c>
      <c r="F21" s="45" t="n">
        <v>0.012</v>
      </c>
    </row>
    <row r="22" ht="30" customHeight="1">
      <c r="B22" s="19" t="inlineStr">
        <is>
          <t>Shipping (% of revenue)</t>
        </is>
      </c>
      <c r="C22" s="45" t="n">
        <v>0.028</v>
      </c>
      <c r="D22" s="45" t="n">
        <v>0.028</v>
      </c>
      <c r="E22" s="45" t="n">
        <v>0.028</v>
      </c>
      <c r="F22" s="45" t="n">
        <v>0.028</v>
      </c>
    </row>
    <row r="23" ht="30" customHeight="1">
      <c r="B23" s="19" t="inlineStr">
        <is>
          <t>Performance marketing (% of revenue)</t>
        </is>
      </c>
      <c r="C23" s="45" t="n">
        <v>0.27</v>
      </c>
      <c r="D23" s="45" t="n">
        <v>0.26</v>
      </c>
      <c r="E23" s="45" t="n">
        <v>0.25</v>
      </c>
      <c r="F23" s="45" t="n">
        <v>0.24</v>
      </c>
    </row>
    <row r="25" ht="30" customHeight="1">
      <c r="A25" s="17" t="inlineStr">
        <is>
          <t>x</t>
        </is>
      </c>
      <c r="B25" s="6" t="inlineStr">
        <is>
          <t>Common cost growth (YoY)</t>
        </is>
      </c>
      <c r="C25" s="17" t="n"/>
    </row>
    <row r="26" ht="30" customHeight="1">
      <c r="A26" s="32" t="n"/>
      <c r="B26" s="9" t="inlineStr">
        <is>
          <t>Particulars</t>
        </is>
      </c>
      <c r="C26" s="10" t="inlineStr">
        <is>
          <t>FY27</t>
        </is>
      </c>
      <c r="D26" s="10" t="inlineStr">
        <is>
          <t>FY28</t>
        </is>
      </c>
      <c r="E26" s="10" t="inlineStr">
        <is>
          <t>FY29</t>
        </is>
      </c>
      <c r="F26" s="10" t="inlineStr">
        <is>
          <t>FY30</t>
        </is>
      </c>
    </row>
    <row r="27" ht="30" customHeight="1">
      <c r="A27" s="1" t="n"/>
      <c r="B27" s="7" t="inlineStr">
        <is>
          <t>Head office salaries</t>
        </is>
      </c>
      <c r="C27" s="45" t="n">
        <v>0.28</v>
      </c>
      <c r="D27" s="45" t="n">
        <v>0.24</v>
      </c>
      <c r="E27" s="45" t="n">
        <v>0.2</v>
      </c>
      <c r="F27" s="45" t="n">
        <v>0.16</v>
      </c>
    </row>
    <row r="28" ht="30" customHeight="1">
      <c r="A28" s="1" t="n"/>
      <c r="B28" s="7" t="inlineStr">
        <is>
          <t>Brand marketing</t>
        </is>
      </c>
      <c r="C28" s="45" t="n">
        <v>0.38</v>
      </c>
      <c r="D28" s="45" t="n">
        <v>0.32</v>
      </c>
      <c r="E28" s="45" t="n">
        <v>0.26</v>
      </c>
      <c r="F28" s="45" t="n">
        <v>0.22</v>
      </c>
    </row>
    <row r="29" ht="30" customHeight="1">
      <c r="A29" s="1" t="n"/>
      <c r="B29" s="7" t="inlineStr">
        <is>
          <t>Technology and platform</t>
        </is>
      </c>
      <c r="C29" s="45" t="n">
        <v>0.28</v>
      </c>
      <c r="D29" s="45" t="n">
        <v>0.22</v>
      </c>
      <c r="E29" s="45" t="n">
        <v>0.18</v>
      </c>
      <c r="F29" s="45" t="n">
        <v>0.14</v>
      </c>
    </row>
    <row r="30" ht="30" customHeight="1">
      <c r="A30" s="1" t="n"/>
      <c r="B30" s="7" t="inlineStr">
        <is>
          <t>Other general and administrative</t>
        </is>
      </c>
      <c r="C30" s="45" t="n">
        <v>0.22</v>
      </c>
      <c r="D30" s="45" t="n">
        <v>0.2</v>
      </c>
      <c r="E30" s="45" t="n">
        <v>0.16</v>
      </c>
      <c r="F30" s="45" t="n">
        <v>0.14</v>
      </c>
    </row>
    <row r="32" ht="30" customHeight="1">
      <c r="A32" s="17" t="inlineStr">
        <is>
          <t>x</t>
        </is>
      </c>
      <c r="B32" s="6" t="inlineStr">
        <is>
          <t>Corporate</t>
        </is>
      </c>
      <c r="C32" s="17" t="n"/>
    </row>
    <row r="33" ht="30" customHeight="1">
      <c r="B33" s="18" t="inlineStr">
        <is>
          <t>Particulars</t>
        </is>
      </c>
      <c r="C33" s="20" t="inlineStr">
        <is>
          <t>Value</t>
        </is>
      </c>
    </row>
    <row r="34" ht="30" customHeight="1">
      <c r="B34" s="19" t="inlineStr">
        <is>
          <t>Depreciation on existing fit-outs p.a. (₹ cr) (FY26 onwards)</t>
        </is>
      </c>
      <c r="C34" s="25" t="n">
        <v>3.5</v>
      </c>
    </row>
    <row r="35" ht="30" customHeight="1">
      <c r="B35" s="19" t="inlineStr">
        <is>
          <t>Warehouse racking and packing line, total cost (₹ cr)</t>
        </is>
      </c>
      <c r="C35" s="25" t="n">
        <v>8</v>
      </c>
    </row>
    <row r="36" ht="30" customHeight="1">
      <c r="B36" s="19" t="inlineStr">
        <is>
          <t>Year of purchase</t>
        </is>
      </c>
      <c r="C36" s="25" t="inlineStr">
        <is>
          <t>FY27</t>
        </is>
      </c>
    </row>
    <row r="37" ht="30" customHeight="1">
      <c r="B37" s="19" t="inlineStr">
        <is>
          <t>Machine life (years)</t>
        </is>
      </c>
      <c r="C37" s="25" t="n">
        <v>4</v>
      </c>
    </row>
    <row r="38" ht="30" customHeight="1">
      <c r="B38" s="19" t="inlineStr">
        <is>
          <t>Additional depreciation (FY27 onwards)</t>
        </is>
      </c>
      <c r="C38" s="50">
        <f>C35/C37</f>
        <v/>
      </c>
    </row>
    <row r="39" ht="30" customHeight="1">
      <c r="B39" s="19" t="inlineStr">
        <is>
          <t>Working capital (% of revenue)</t>
        </is>
      </c>
      <c r="C39" s="45" t="n">
        <v>0.2</v>
      </c>
    </row>
    <row r="40" ht="30" customHeight="1">
      <c r="B40" s="19" t="inlineStr">
        <is>
          <t>Working capital at 31 Mar 2026 (₹ cr)</t>
        </is>
      </c>
      <c r="C40" s="25" t="n">
        <v>29</v>
      </c>
    </row>
    <row r="41" ht="30" customHeight="1">
      <c r="B41" s="19" t="inlineStr">
        <is>
          <t>Tax rate</t>
        </is>
      </c>
      <c r="C41" s="45" t="n">
        <v>0.25</v>
      </c>
    </row>
    <row r="42" ht="30" customHeight="1">
      <c r="B42" s="19" t="inlineStr">
        <is>
          <t>Debt as on 31/3/2026 (₹ cr)</t>
        </is>
      </c>
      <c r="C42" s="25" t="n">
        <v>25</v>
      </c>
    </row>
    <row r="43" ht="30" customHeight="1">
      <c r="B43" s="19" t="inlineStr">
        <is>
          <t>Interest cost (%)</t>
        </is>
      </c>
      <c r="C43" s="45" t="n">
        <v>0.11</v>
      </c>
    </row>
    <row r="44" ht="30" customHeight="1">
      <c r="B44" s="19" t="n"/>
      <c r="C44" s="2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2026-09-27T12:15:32Z</dcterms:created>
  <dcterms:modified xsi:type="dcterms:W3CDTF">2026-10-28T15:49:59Z</dcterms:modified>
  <cp:lastModifiedBy>Siddhant Gupta</cp:lastModifiedBy>
  <cp:revision>0</cp:revision>
</cp:coreProperties>
</file>