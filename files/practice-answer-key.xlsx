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7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7.7</v>
      </c>
      <c r="D6" s="25" t="n">
        <v>20</v>
      </c>
      <c r="E6" s="25" t="n">
        <v>40</v>
      </c>
      <c r="F6" s="26">
        <f>E6*(1+Assumptions!C6)</f>
        <v/>
      </c>
      <c r="G6" s="26">
        <f>F6*(1+Assumptions!D6)</f>
        <v/>
      </c>
      <c r="H6" s="26">
        <f>G6*(1+Assumptions!E6)</f>
        <v/>
      </c>
      <c r="I6" s="26">
        <f>H6*(1+Assumptions!F6)</f>
        <v/>
      </c>
    </row>
    <row r="7" ht="30" customHeight="1">
      <c r="B7" s="24" t="inlineStr">
        <is>
          <t>Accessories revenue</t>
        </is>
      </c>
      <c r="C7" s="25" t="n">
        <v>1.6</v>
      </c>
      <c r="D7" s="25" t="n">
        <v>4.5</v>
      </c>
      <c r="E7" s="25" t="n">
        <v>10</v>
      </c>
      <c r="F7" s="26">
        <f>E7*(1+Assumptions!C7)</f>
        <v/>
      </c>
      <c r="G7" s="26">
        <f>F7*(1+Assumptions!D7)</f>
        <v/>
      </c>
      <c r="H7" s="26">
        <f>G7*(1+Assumptions!E7)</f>
        <v/>
      </c>
      <c r="I7" s="26">
        <f>H7*(1+Assumptions!F7)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4.9</v>
      </c>
      <c r="D9" s="25" t="n">
        <v>12.3</v>
      </c>
      <c r="E9" s="25" t="n">
        <v>24</v>
      </c>
      <c r="F9" s="27">
        <f>F8*(1-Assumptions!C8)</f>
        <v/>
      </c>
      <c r="G9" s="27">
        <f>G8*(1-Assumptions!D8)</f>
        <v/>
      </c>
      <c r="H9" s="27">
        <f>H8*(1-Assumptions!E8)</f>
        <v/>
      </c>
      <c r="I9" s="27">
        <f>I8*(1-Assumptions!F8)</f>
        <v/>
      </c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0.1</v>
      </c>
      <c r="D11" s="25" t="n">
        <v>0.3</v>
      </c>
      <c r="E11" s="25" t="n">
        <v>0.5</v>
      </c>
      <c r="F11" s="27">
        <f>F$8*Assumptions!C9</f>
        <v/>
      </c>
      <c r="G11" s="27">
        <f>G$8*Assumptions!D9</f>
        <v/>
      </c>
      <c r="H11" s="27">
        <f>H$8*Assumptions!E9</f>
        <v/>
      </c>
      <c r="I11" s="27">
        <f>I$8*Assumptions!F9</f>
        <v/>
      </c>
    </row>
    <row r="12" ht="30" customHeight="1">
      <c r="B12" s="30" t="inlineStr">
        <is>
          <t>Payment gateway charges</t>
        </is>
      </c>
      <c r="C12" s="25" t="n">
        <v>0.1</v>
      </c>
      <c r="D12" s="25" t="n">
        <v>0.2</v>
      </c>
      <c r="E12" s="25" t="n">
        <v>0.4</v>
      </c>
      <c r="F12" s="27">
        <f>F$8*Assumptions!C10</f>
        <v/>
      </c>
      <c r="G12" s="27">
        <f>G$8*Assumptions!D10</f>
        <v/>
      </c>
      <c r="H12" s="27">
        <f>H$8*Assumptions!E10</f>
        <v/>
      </c>
      <c r="I12" s="27">
        <f>I$8*Assumptions!F10</f>
        <v/>
      </c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>
        <f>F10-F11-F12</f>
        <v/>
      </c>
      <c r="G13" s="14">
        <f>G10-G11-G12</f>
        <v/>
      </c>
      <c r="H13" s="14">
        <f>H10-H11-H12</f>
        <v/>
      </c>
      <c r="I13" s="14">
        <f>I10-I11-I12</f>
        <v/>
      </c>
    </row>
    <row r="14" ht="30" customHeight="1">
      <c r="B14" s="30" t="inlineStr">
        <is>
          <t>Performance Marketing</t>
        </is>
      </c>
      <c r="C14" s="25" t="n">
        <v>0.8</v>
      </c>
      <c r="D14" s="25" t="n">
        <v>1.8</v>
      </c>
      <c r="E14" s="25" t="n">
        <v>3</v>
      </c>
      <c r="F14" s="27">
        <f>F$8*Assumptions!C11</f>
        <v/>
      </c>
      <c r="G14" s="27">
        <f>G$8*Assumptions!D11</f>
        <v/>
      </c>
      <c r="H14" s="27">
        <f>H$8*Assumptions!E11</f>
        <v/>
      </c>
      <c r="I14" s="27">
        <f>I$8*Assumptions!F11</f>
        <v/>
      </c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>
        <f>F13-F14</f>
        <v/>
      </c>
      <c r="G15" s="14">
        <f>G13-G14</f>
        <v/>
      </c>
      <c r="H15" s="14">
        <f>H13-H14</f>
        <v/>
      </c>
      <c r="I15" s="14">
        <f>I13-I14</f>
        <v/>
      </c>
    </row>
    <row r="16" ht="30" customHeight="1">
      <c r="B16" s="30" t="inlineStr">
        <is>
          <t>Store rent</t>
        </is>
      </c>
      <c r="C16" s="25" t="n">
        <v>2.2</v>
      </c>
      <c r="D16" s="25" t="n">
        <v>4.4</v>
      </c>
      <c r="E16" s="25" t="n">
        <v>7</v>
      </c>
      <c r="F16" s="27">
        <f>E16*(1+Assumptions!C12)</f>
        <v/>
      </c>
      <c r="G16" s="27">
        <f>F16*(1+Assumptions!D12)</f>
        <v/>
      </c>
      <c r="H16" s="27">
        <f>G16*(1+Assumptions!E12)</f>
        <v/>
      </c>
      <c r="I16" s="27">
        <f>H16*(1+Assumptions!F12)</f>
        <v/>
      </c>
    </row>
    <row r="17" ht="30" customHeight="1">
      <c r="B17" s="30" t="inlineStr">
        <is>
          <t>Store staff</t>
        </is>
      </c>
      <c r="C17" s="25" t="n">
        <v>1.3</v>
      </c>
      <c r="D17" s="25" t="n">
        <v>2.9</v>
      </c>
      <c r="E17" s="25" t="n">
        <v>5</v>
      </c>
      <c r="F17" s="27">
        <f>E17*(1+Assumptions!C13)</f>
        <v/>
      </c>
      <c r="G17" s="27">
        <f>F17*(1+Assumptions!D13)</f>
        <v/>
      </c>
      <c r="H17" s="27">
        <f>G17*(1+Assumptions!E13)</f>
        <v/>
      </c>
      <c r="I17" s="27">
        <f>H17*(1+Assumptions!F13)</f>
        <v/>
      </c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>
        <f>F15-F16-F17</f>
        <v/>
      </c>
      <c r="G18" s="14">
        <f>G15-G16-G17</f>
        <v/>
      </c>
      <c r="H18" s="14">
        <f>H15-H16-H17</f>
        <v/>
      </c>
      <c r="I18" s="14">
        <f>I15-I16-I17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9.6</v>
      </c>
      <c r="D6" s="25" t="n">
        <v>25</v>
      </c>
      <c r="E6" s="25" t="n">
        <v>50</v>
      </c>
      <c r="F6" s="27">
        <f>E6*(1+Assumptions!C17)</f>
        <v/>
      </c>
      <c r="G6" s="27">
        <f>F6*(1+Assumptions!D17)</f>
        <v/>
      </c>
      <c r="H6" s="27">
        <f>G6*(1+Assumptions!E17)</f>
        <v/>
      </c>
      <c r="I6" s="27">
        <f>H6*(1+Assumptions!F17)</f>
        <v/>
      </c>
    </row>
    <row r="7" ht="30" customHeight="1">
      <c r="B7" s="30" t="inlineStr">
        <is>
          <t>Accessories revenue</t>
        </is>
      </c>
      <c r="C7" s="25" t="n">
        <v>3.1</v>
      </c>
      <c r="D7" s="25" t="n">
        <v>9.1</v>
      </c>
      <c r="E7" s="25" t="n">
        <v>20</v>
      </c>
      <c r="F7" s="27">
        <f>E7*(1+Assumptions!C18)</f>
        <v/>
      </c>
      <c r="G7" s="27">
        <f>F7*(1+Assumptions!D18)</f>
        <v/>
      </c>
      <c r="H7" s="27">
        <f>G7*(1+Assumptions!E18)</f>
        <v/>
      </c>
      <c r="I7" s="27">
        <f>H7*(1+Assumptions!F18)</f>
        <v/>
      </c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Cost of goods sold</t>
        </is>
      </c>
      <c r="C9" s="25" t="n">
        <v>6.4</v>
      </c>
      <c r="D9" s="25" t="n">
        <v>16</v>
      </c>
      <c r="E9" s="25" t="n">
        <v>31.5</v>
      </c>
      <c r="F9" s="27">
        <f>F8*(1-Assumptions!C19)</f>
        <v/>
      </c>
      <c r="G9" s="27">
        <f>G8*(1-Assumptions!D19)</f>
        <v/>
      </c>
      <c r="H9" s="27">
        <f>H8*(1-Assumptions!E19)</f>
        <v/>
      </c>
      <c r="I9" s="27">
        <f>I8*(1-Assumptions!F19)</f>
        <v/>
      </c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>
        <f>F8-F9</f>
        <v/>
      </c>
      <c r="G10" s="29">
        <f>G8-G9</f>
        <v/>
      </c>
      <c r="H10" s="29">
        <f>H8-H9</f>
        <v/>
      </c>
      <c r="I10" s="29">
        <f>I8-I9</f>
        <v/>
      </c>
    </row>
    <row r="11" ht="30" customHeight="1">
      <c r="B11" s="30" t="inlineStr">
        <is>
          <t>Packaging</t>
        </is>
      </c>
      <c r="C11" s="25" t="n">
        <v>0.2</v>
      </c>
      <c r="D11" s="25" t="n">
        <v>0.6</v>
      </c>
      <c r="E11" s="25" t="n">
        <v>1.1</v>
      </c>
      <c r="F11" s="27">
        <f>F$8*Assumptions!C20</f>
        <v/>
      </c>
      <c r="G11" s="27">
        <f>G$8*Assumptions!D20</f>
        <v/>
      </c>
      <c r="H11" s="27">
        <f>H$8*Assumptions!E20</f>
        <v/>
      </c>
      <c r="I11" s="27">
        <f>I$8*Assumptions!F20</f>
        <v/>
      </c>
    </row>
    <row r="12" ht="30" customHeight="1">
      <c r="B12" s="30" t="inlineStr">
        <is>
          <t>Payment gateway charges</t>
        </is>
      </c>
      <c r="C12" s="25" t="n">
        <v>0.2</v>
      </c>
      <c r="D12" s="25" t="n">
        <v>0.6</v>
      </c>
      <c r="E12" s="25" t="n">
        <v>1.1</v>
      </c>
      <c r="F12" s="27">
        <f>F$8*Assumptions!C21</f>
        <v/>
      </c>
      <c r="G12" s="27">
        <f>G$8*Assumptions!D21</f>
        <v/>
      </c>
      <c r="H12" s="27">
        <f>H$8*Assumptions!E21</f>
        <v/>
      </c>
      <c r="I12" s="27">
        <f>I$8*Assumptions!F21</f>
        <v/>
      </c>
    </row>
    <row r="13" ht="30" customHeight="1">
      <c r="B13" s="30" t="inlineStr">
        <is>
          <t>Shipping</t>
        </is>
      </c>
      <c r="C13" s="25" t="n">
        <v>0.5</v>
      </c>
      <c r="D13" s="25" t="n">
        <v>1.2</v>
      </c>
      <c r="E13" s="25" t="n">
        <v>2.1</v>
      </c>
      <c r="F13" s="27">
        <f>F$8*Assumptions!C22</f>
        <v/>
      </c>
      <c r="G13" s="27">
        <f>G$8*Assumptions!D22</f>
        <v/>
      </c>
      <c r="H13" s="27">
        <f>H$8*Assumptions!E22</f>
        <v/>
      </c>
      <c r="I13" s="27">
        <f>I$8*Assumptions!F22</f>
        <v/>
      </c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</row>
    <row r="15" ht="30" customHeight="1">
      <c r="B15" s="30" t="inlineStr">
        <is>
          <t>Performance marketing</t>
        </is>
      </c>
      <c r="C15" s="25" t="n">
        <v>5.2</v>
      </c>
      <c r="D15" s="25" t="n">
        <v>11.7</v>
      </c>
      <c r="E15" s="25" t="n">
        <v>19.6</v>
      </c>
      <c r="F15" s="27">
        <f>F$8*Assumptions!C23</f>
        <v/>
      </c>
      <c r="G15" s="27">
        <f>G$8*Assumptions!D23</f>
        <v/>
      </c>
      <c r="H15" s="27">
        <f>H$8*Assumptions!E23</f>
        <v/>
      </c>
      <c r="I15" s="27">
        <f>I$8*Assumptions!F23</f>
        <v/>
      </c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>
        <f>'Offline retail'!F8</f>
        <v/>
      </c>
      <c r="G6" s="27">
        <f>'Offline retail'!G8</f>
        <v/>
      </c>
      <c r="H6" s="27">
        <f>'Offline retail'!H8</f>
        <v/>
      </c>
      <c r="I6" s="27">
        <f>'Offline retail'!I8</f>
        <v/>
      </c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>
        <f>D2C!F8</f>
        <v/>
      </c>
      <c r="G7" s="27">
        <f>D2C!G8</f>
        <v/>
      </c>
      <c r="H7" s="27">
        <f>D2C!H8</f>
        <v/>
      </c>
      <c r="I7" s="27">
        <f>D2C!I8</f>
        <v/>
      </c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>
        <f>F6+F7</f>
        <v/>
      </c>
      <c r="G8" s="14">
        <f>G6+G7</f>
        <v/>
      </c>
      <c r="H8" s="14">
        <f>H6+H7</f>
        <v/>
      </c>
      <c r="I8" s="14">
        <f>I6+I7</f>
        <v/>
      </c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>
        <f>'Offline retail'!F18</f>
        <v/>
      </c>
      <c r="G9" s="27">
        <f>'Offline retail'!G18</f>
        <v/>
      </c>
      <c r="H9" s="27">
        <f>'Offline retail'!H18</f>
        <v/>
      </c>
      <c r="I9" s="27">
        <f>'Offline retail'!I18</f>
        <v/>
      </c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>
        <f>D2C!F16</f>
        <v/>
      </c>
      <c r="G10" s="27">
        <f>D2C!G16</f>
        <v/>
      </c>
      <c r="H10" s="27">
        <f>D2C!H16</f>
        <v/>
      </c>
      <c r="I10" s="27">
        <f>D2C!I16</f>
        <v/>
      </c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>
        <f>F9+F10</f>
        <v/>
      </c>
      <c r="G11" s="14">
        <f>G9+G10</f>
        <v/>
      </c>
      <c r="H11" s="14">
        <f>H9+H10</f>
        <v/>
      </c>
      <c r="I11" s="14">
        <f>I9+I10</f>
        <v/>
      </c>
    </row>
    <row r="12" ht="30" customHeight="1">
      <c r="B12" s="7" t="inlineStr">
        <is>
          <t>Head office salaries</t>
        </is>
      </c>
      <c r="C12" s="27" t="n">
        <v>2.2</v>
      </c>
      <c r="D12" s="27" t="n">
        <v>3.3</v>
      </c>
      <c r="E12" s="27" t="n">
        <v>5</v>
      </c>
      <c r="F12" s="27">
        <f>E12*(1+Assumptions!C27)</f>
        <v/>
      </c>
      <c r="G12" s="27">
        <f>F12*(1+Assumptions!D27)</f>
        <v/>
      </c>
      <c r="H12" s="27">
        <f>G12*(1+Assumptions!E27)</f>
        <v/>
      </c>
      <c r="I12" s="27">
        <f>H12*(1+Assumptions!F27)</f>
        <v/>
      </c>
    </row>
    <row r="13" ht="30" customHeight="1">
      <c r="B13" s="7" t="inlineStr">
        <is>
          <t>Brand marketing</t>
        </is>
      </c>
      <c r="C13" s="27" t="n">
        <v>1.2</v>
      </c>
      <c r="D13" s="27" t="n">
        <v>1.9</v>
      </c>
      <c r="E13" s="27" t="n">
        <v>3</v>
      </c>
      <c r="F13" s="27">
        <f>E13*(1+Assumptions!C28)</f>
        <v/>
      </c>
      <c r="G13" s="27">
        <f>F13*(1+Assumptions!D28)</f>
        <v/>
      </c>
      <c r="H13" s="27">
        <f>G13*(1+Assumptions!E28)</f>
        <v/>
      </c>
      <c r="I13" s="27">
        <f>H13*(1+Assumptions!F28)</f>
        <v/>
      </c>
    </row>
    <row r="14" ht="30" customHeight="1">
      <c r="B14" s="7" t="inlineStr">
        <is>
          <t>Technology and platform</t>
        </is>
      </c>
      <c r="C14" s="27" t="n">
        <v>0.4</v>
      </c>
      <c r="D14" s="27" t="n">
        <v>0.7</v>
      </c>
      <c r="E14" s="27" t="n">
        <v>1.2</v>
      </c>
      <c r="F14" s="27">
        <f>E14*(1+Assumptions!C29)</f>
        <v/>
      </c>
      <c r="G14" s="27">
        <f>F14*(1+Assumptions!D29)</f>
        <v/>
      </c>
      <c r="H14" s="27">
        <f>G14*(1+Assumptions!E29)</f>
        <v/>
      </c>
      <c r="I14" s="27">
        <f>H14*(1+Assumptions!F29)</f>
        <v/>
      </c>
    </row>
    <row r="15" ht="30" customHeight="1">
      <c r="B15" s="7" t="inlineStr">
        <is>
          <t>Other general and administrative</t>
        </is>
      </c>
      <c r="C15" s="27" t="n">
        <v>0.3</v>
      </c>
      <c r="D15" s="27" t="n">
        <v>0.6</v>
      </c>
      <c r="E15" s="27" t="n">
        <v>1</v>
      </c>
      <c r="F15" s="27">
        <f>E15*(1+Assumptions!C30)</f>
        <v/>
      </c>
      <c r="G15" s="27">
        <f>F15*(1+Assumptions!D30)</f>
        <v/>
      </c>
      <c r="H15" s="27">
        <f>G15*(1+Assumptions!E30)</f>
        <v/>
      </c>
      <c r="I15" s="27">
        <f>H15*(1+Assumptions!F30)</f>
        <v/>
      </c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>
        <f>F11-SUM(F12:F15)</f>
        <v/>
      </c>
      <c r="G16" s="75">
        <f>G11-SUM(G12:G15)</f>
        <v/>
      </c>
      <c r="H16" s="75">
        <f>H11-SUM(H12:H15)</f>
        <v/>
      </c>
      <c r="I16" s="75">
        <f>I11-SUM(I12:I15)</f>
        <v/>
      </c>
    </row>
    <row r="17" ht="30" customHeight="1">
      <c r="B17" s="30" t="inlineStr">
        <is>
          <t>Depreciation</t>
        </is>
      </c>
      <c r="C17" s="27" t="n">
        <v>0.4</v>
      </c>
      <c r="D17" s="27" t="n">
        <v>1.3</v>
      </c>
      <c r="E17" s="27" t="n">
        <v>2.5</v>
      </c>
      <c r="F17" s="27">
        <f>Assumptions!$C$34</f>
        <v/>
      </c>
      <c r="G17" s="27">
        <f>Assumptions!$C$34</f>
        <v/>
      </c>
      <c r="H17" s="27">
        <f>Assumptions!$C$34+Assumptions!$C$38</f>
        <v/>
      </c>
      <c r="I17" s="27">
        <f>Assumptions!$C$34+Assumptions!$C$38</f>
        <v/>
      </c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>
        <f>F16-F17</f>
        <v/>
      </c>
      <c r="G18" s="75">
        <f>G16-G17</f>
        <v/>
      </c>
      <c r="H18" s="75">
        <f>H16-H17</f>
        <v/>
      </c>
      <c r="I18" s="75">
        <f>I16-I17</f>
        <v/>
      </c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>
        <f>Assumptions!$C$42*Assumptions!$C$43</f>
        <v/>
      </c>
      <c r="G19" s="76">
        <f>Assumptions!$C$42*Assumptions!$C$43</f>
        <v/>
      </c>
      <c r="H19" s="76">
        <f>Assumptions!$C$42*Assumptions!$C$43</f>
        <v/>
      </c>
      <c r="I19" s="76">
        <f>Assumptions!$C$42*Assumptions!$C$43</f>
        <v/>
      </c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>
        <f>F18-F19</f>
        <v/>
      </c>
      <c r="G20" s="75">
        <f>G18-G19</f>
        <v/>
      </c>
      <c r="H20" s="75">
        <f>H18-H19</f>
        <v/>
      </c>
      <c r="I20" s="75">
        <f>I18-I19</f>
        <v/>
      </c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>
        <f>MAX(0,F20*Assumptions!$C$41)</f>
        <v/>
      </c>
      <c r="G21" s="27">
        <f>MAX(0,G20*Assumptions!$C$41)</f>
        <v/>
      </c>
      <c r="H21" s="27">
        <f>MAX(0,H20*Assumptions!$C$41)</f>
        <v/>
      </c>
      <c r="I21" s="27">
        <f>MAX(0,I20*Assumptions!$C$41)</f>
        <v/>
      </c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>
        <f>F20-F21</f>
        <v/>
      </c>
      <c r="G22" s="77">
        <f>G20-G21</f>
        <v/>
      </c>
      <c r="H22" s="77">
        <f>H20-H21</f>
        <v/>
      </c>
      <c r="I22" s="77">
        <f>I20-I21</f>
        <v/>
      </c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45" t="n">
        <v>0.21</v>
      </c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45" t="n">
        <v>0.05</v>
      </c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TrekLite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>
        <f>'Consolidated '!F22</f>
        <v/>
      </c>
      <c r="D9" s="29">
        <f>'Consolidated '!G22</f>
        <v/>
      </c>
      <c r="E9" s="29">
        <f>'Consolidated '!H22</f>
        <v/>
      </c>
      <c r="F9" s="29">
        <f>'Consolidated '!I22</f>
        <v/>
      </c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>
        <f>'Consolidated '!F17</f>
        <v/>
      </c>
      <c r="D10" s="27">
        <f>'Consolidated '!G17</f>
        <v/>
      </c>
      <c r="E10" s="27">
        <f>'Consolidated '!H17</f>
        <v/>
      </c>
      <c r="F10" s="27">
        <f>'Consolidated '!I17</f>
        <v/>
      </c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>
        <f>C9+C10</f>
        <v/>
      </c>
      <c r="D11" s="29">
        <f>D9+D10</f>
        <v/>
      </c>
      <c r="E11" s="29">
        <f>E9+E10</f>
        <v/>
      </c>
      <c r="F11" s="29">
        <f>F9+F10</f>
        <v/>
      </c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>
        <f>D45</f>
        <v/>
      </c>
      <c r="D12" s="27">
        <f>E45</f>
        <v/>
      </c>
      <c r="E12" s="27">
        <f>F45</f>
        <v/>
      </c>
      <c r="F12" s="27">
        <f>G45</f>
        <v/>
      </c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bag-stitching machines</t>
        </is>
      </c>
      <c r="C13" s="25" t="n">
        <v>0</v>
      </c>
      <c r="D13" s="25" t="n">
        <v>0</v>
      </c>
      <c r="E13" s="25" t="n">
        <v>5</v>
      </c>
      <c r="F13" s="25" t="n">
        <v>0</v>
      </c>
    </row>
    <row r="14" ht="30" customFormat="1" customHeight="1" s="8">
      <c r="A14" s="17" t="n"/>
      <c r="B14" s="28" t="inlineStr">
        <is>
          <t>Free cash flows for equity (FCFE)</t>
        </is>
      </c>
      <c r="C14" s="29">
        <f>C11-C12-C13</f>
        <v/>
      </c>
      <c r="D14" s="29">
        <f>D11-D12-D13</f>
        <v/>
      </c>
      <c r="E14" s="29">
        <f>E11-E12-E13</f>
        <v/>
      </c>
      <c r="F14" s="29">
        <f>F11-F12-F13</f>
        <v/>
      </c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>
        <f>F14*(1+C5)/(C4-C5)</f>
        <v/>
      </c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>
        <v>1</v>
      </c>
      <c r="D17" s="25" t="n">
        <v>2</v>
      </c>
      <c r="E17" s="25" t="n">
        <v>3</v>
      </c>
      <c r="F17" s="25" t="n">
        <v>4</v>
      </c>
    </row>
    <row r="18" ht="30" customHeight="1">
      <c r="B18" s="30" t="inlineStr">
        <is>
          <t>Discounting factor</t>
        </is>
      </c>
      <c r="C18" s="36">
        <f>1/(1+$C$4)^C17</f>
        <v/>
      </c>
      <c r="D18" s="36">
        <f>1/(1+$C$4)^D17</f>
        <v/>
      </c>
      <c r="E18" s="36">
        <f>1/(1+$C$4)^E17</f>
        <v/>
      </c>
      <c r="F18" s="36">
        <f>1/(1+$C$4)^F17</f>
        <v/>
      </c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>
        <f>C14*C18</f>
        <v/>
      </c>
      <c r="D20" s="29">
        <f>D14*D18</f>
        <v/>
      </c>
      <c r="E20" s="29">
        <f>E14*E18</f>
        <v/>
      </c>
      <c r="F20" s="29">
        <f>F14*F18</f>
        <v/>
      </c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>
        <f>F15*F18</f>
        <v/>
      </c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>
        <f>C20+D20+E20+F20+F21</f>
        <v/>
      </c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>
        <f>C23</f>
        <v/>
      </c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2" t="n">
        <v>170</v>
      </c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>
        <f>C27-C28</f>
        <v/>
      </c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>
        <f>-C28</f>
        <v/>
      </c>
      <c r="D33" s="57">
        <f>C14+C15</f>
        <v/>
      </c>
      <c r="E33" s="57">
        <f>D14+D15</f>
        <v/>
      </c>
      <c r="F33" s="57">
        <f>E14+E15</f>
        <v/>
      </c>
      <c r="G33" s="57">
        <f>F14+F15</f>
        <v/>
      </c>
    </row>
    <row r="34" ht="30" customHeight="1">
      <c r="B34" s="28" t="inlineStr">
        <is>
          <t>Internal Rate of Return (IRR)</t>
        </is>
      </c>
      <c r="C34" s="59">
        <f>IRR(C33:G33)</f>
        <v/>
      </c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>
        <v>1.2</v>
      </c>
      <c r="D38" s="78">
        <f>D39*C38</f>
        <v/>
      </c>
    </row>
    <row r="39" ht="30" customHeight="1">
      <c r="B39" s="38" t="inlineStr">
        <is>
          <t>Base</t>
        </is>
      </c>
      <c r="C39" s="25" t="n">
        <v>1</v>
      </c>
      <c r="D39" s="78">
        <f>C23</f>
        <v/>
      </c>
    </row>
    <row r="40" ht="30" customHeight="1">
      <c r="B40" s="38" t="inlineStr">
        <is>
          <t>Downside</t>
        </is>
      </c>
      <c r="C40" s="25" t="n">
        <v>0.8</v>
      </c>
      <c r="D40" s="78">
        <f>D39*C40</f>
        <v/>
      </c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>
        <f>Assumptions!C40</f>
        <v/>
      </c>
      <c r="D44" s="39">
        <f>Assumptions!$C$39*'Consolidated '!F8</f>
        <v/>
      </c>
      <c r="E44" s="39">
        <f>Assumptions!$C$39*'Consolidated '!G8</f>
        <v/>
      </c>
      <c r="F44" s="39">
        <f>Assumptions!$C$39*'Consolidated '!H8</f>
        <v/>
      </c>
      <c r="G44" s="39">
        <f>Assumptions!$C$39*'Consolidated '!I8</f>
        <v/>
      </c>
    </row>
    <row r="45" ht="30" customHeight="1">
      <c r="B45" s="41" t="inlineStr">
        <is>
          <t>Increase</t>
        </is>
      </c>
      <c r="C45" s="42" t="n"/>
      <c r="D45" s="42">
        <f>D44-C44</f>
        <v/>
      </c>
      <c r="E45" s="42">
        <f>E44-D44</f>
        <v/>
      </c>
      <c r="F45" s="42">
        <f>F44-E44</f>
        <v/>
      </c>
      <c r="G45" s="42">
        <f>G44-F44</f>
        <v/>
      </c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0.4</v>
      </c>
      <c r="D6" s="45" t="n">
        <v>0.3</v>
      </c>
      <c r="E6" s="45" t="n">
        <v>0.25</v>
      </c>
      <c r="F6" s="45" t="n">
        <v>0.2</v>
      </c>
    </row>
    <row r="7" ht="30" customHeight="1">
      <c r="B7" s="7" t="inlineStr">
        <is>
          <t>Accessories revenue growth (YoY)</t>
        </is>
      </c>
      <c r="C7" s="45" t="n">
        <v>0.5</v>
      </c>
      <c r="D7" s="45" t="n">
        <v>0.4</v>
      </c>
      <c r="E7" s="45" t="n">
        <v>0.3</v>
      </c>
      <c r="F7" s="45" t="n">
        <v>0.25</v>
      </c>
    </row>
    <row r="8" ht="30" customHeight="1">
      <c r="B8" s="7" t="inlineStr">
        <is>
          <t>Gross margin (% of revenue)</t>
        </is>
      </c>
      <c r="C8" s="45" t="n">
        <v>0.52</v>
      </c>
      <c r="D8" s="45" t="n">
        <v>0.52</v>
      </c>
      <c r="E8" s="45" t="n">
        <v>0.52</v>
      </c>
      <c r="F8" s="45" t="n">
        <v>0.52</v>
      </c>
    </row>
    <row r="9" ht="30" customHeight="1">
      <c r="B9" s="7" t="inlineStr">
        <is>
          <t>Packaging (% of revenue)</t>
        </is>
      </c>
      <c r="C9" s="45" t="n">
        <v>0.01</v>
      </c>
      <c r="D9" s="45" t="n">
        <v>0.01</v>
      </c>
      <c r="E9" s="45" t="n">
        <v>0.01</v>
      </c>
      <c r="F9" s="45" t="n">
        <v>0.01</v>
      </c>
    </row>
    <row r="10" ht="30" customHeight="1">
      <c r="B10" s="7" t="inlineStr">
        <is>
          <t>Payment gateway (% of revenue)</t>
        </is>
      </c>
      <c r="C10" s="45" t="n">
        <v>0.008</v>
      </c>
      <c r="D10" s="45" t="n">
        <v>0.008</v>
      </c>
      <c r="E10" s="45" t="n">
        <v>0.008</v>
      </c>
      <c r="F10" s="45" t="n">
        <v>0.008</v>
      </c>
    </row>
    <row r="11" ht="30" customHeight="1">
      <c r="B11" s="7" t="inlineStr">
        <is>
          <t>Performance marketing (% of revenue)</t>
        </is>
      </c>
      <c r="C11" s="45" t="n">
        <v>0.06</v>
      </c>
      <c r="D11" s="45" t="n">
        <v>0.06</v>
      </c>
      <c r="E11" s="45" t="n">
        <v>0.06</v>
      </c>
      <c r="F11" s="45" t="n">
        <v>0.06</v>
      </c>
    </row>
    <row r="12" ht="30" customHeight="1">
      <c r="B12" s="7" t="inlineStr">
        <is>
          <t>Store rent (YoY)</t>
        </is>
      </c>
      <c r="C12" s="45" t="n">
        <v>0.3</v>
      </c>
      <c r="D12" s="45" t="n">
        <v>0.25</v>
      </c>
      <c r="E12" s="45" t="n">
        <v>0.2</v>
      </c>
      <c r="F12" s="45" t="n">
        <v>0.15</v>
      </c>
    </row>
    <row r="13" ht="30" customHeight="1">
      <c r="B13" s="7" t="inlineStr">
        <is>
          <t>Store staff (YoY)</t>
        </is>
      </c>
      <c r="C13" s="45" t="n">
        <v>0.3</v>
      </c>
      <c r="D13" s="45" t="n">
        <v>0.25</v>
      </c>
      <c r="E13" s="45" t="n">
        <v>0.2</v>
      </c>
      <c r="F13" s="45" t="n">
        <v>0.15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0.35</v>
      </c>
      <c r="D17" s="45" t="n">
        <v>0.3</v>
      </c>
      <c r="E17" s="45" t="n">
        <v>0.25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0.45</v>
      </c>
      <c r="D18" s="45" t="n">
        <v>0.35</v>
      </c>
      <c r="E18" s="45" t="n">
        <v>0.3</v>
      </c>
      <c r="F18" s="45" t="n">
        <v>0.25</v>
      </c>
    </row>
    <row r="19" ht="30" customHeight="1">
      <c r="B19" s="19" t="inlineStr">
        <is>
          <t>Gross margin (% of revenue)</t>
        </is>
      </c>
      <c r="C19" s="45" t="n">
        <v>0.55</v>
      </c>
      <c r="D19" s="45" t="n">
        <v>0.55</v>
      </c>
      <c r="E19" s="45" t="n">
        <v>0.55</v>
      </c>
      <c r="F19" s="45" t="n">
        <v>0.55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0.015</v>
      </c>
      <c r="D21" s="45" t="n">
        <v>0.015</v>
      </c>
      <c r="E21" s="45" t="n">
        <v>0.015</v>
      </c>
      <c r="F21" s="45" t="n">
        <v>0.015</v>
      </c>
    </row>
    <row r="22" ht="30" customHeight="1">
      <c r="B22" s="19" t="inlineStr">
        <is>
          <t>Shipping (% of revenue)</t>
        </is>
      </c>
      <c r="C22" s="45" t="n">
        <v>0.03</v>
      </c>
      <c r="D22" s="45" t="n">
        <v>0.03</v>
      </c>
      <c r="E22" s="45" t="n">
        <v>0.03</v>
      </c>
      <c r="F22" s="45" t="n">
        <v>0.03</v>
      </c>
    </row>
    <row r="23" ht="30" customHeight="1">
      <c r="B23" s="19" t="inlineStr">
        <is>
          <t>Performance marketing (% of revenue)</t>
        </is>
      </c>
      <c r="C23" s="45" t="n">
        <v>0.28</v>
      </c>
      <c r="D23" s="45" t="n">
        <v>0.27</v>
      </c>
      <c r="E23" s="45" t="n">
        <v>0.26</v>
      </c>
      <c r="F23" s="45" t="n">
        <v>0.25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0.3</v>
      </c>
      <c r="D27" s="45" t="n">
        <v>0.25</v>
      </c>
      <c r="E27" s="45" t="n">
        <v>0.2</v>
      </c>
      <c r="F27" s="45" t="n">
        <v>0.15</v>
      </c>
    </row>
    <row r="28" ht="30" customHeight="1">
      <c r="A28" s="1" t="n"/>
      <c r="B28" s="7" t="inlineStr">
        <is>
          <t>Brand marketing</t>
        </is>
      </c>
      <c r="C28" s="45" t="n">
        <v>0.35</v>
      </c>
      <c r="D28" s="45" t="n">
        <v>0.3</v>
      </c>
      <c r="E28" s="45" t="n">
        <v>0.25</v>
      </c>
      <c r="F28" s="45" t="n">
        <v>0.2</v>
      </c>
    </row>
    <row r="29" ht="30" customHeight="1">
      <c r="A29" s="1" t="n"/>
      <c r="B29" s="7" t="inlineStr">
        <is>
          <t>Technology and platform</t>
        </is>
      </c>
      <c r="C29" s="45" t="n">
        <v>0.25</v>
      </c>
      <c r="D29" s="45" t="n">
        <v>0.2</v>
      </c>
      <c r="E29" s="45" t="n">
        <v>0.18</v>
      </c>
      <c r="F29" s="45" t="n">
        <v>0.15</v>
      </c>
    </row>
    <row r="30" ht="30" customHeight="1">
      <c r="A30" s="1" t="n"/>
      <c r="B30" s="7" t="inlineStr">
        <is>
          <t>Other general and administrative</t>
        </is>
      </c>
      <c r="C30" s="45" t="n">
        <v>0.2</v>
      </c>
      <c r="D30" s="45" t="n">
        <v>0.18</v>
      </c>
      <c r="E30" s="45" t="n">
        <v>0.15</v>
      </c>
      <c r="F30" s="45" t="n">
        <v>0.12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2.5</v>
      </c>
    </row>
    <row r="35" ht="30" customHeight="1">
      <c r="B35" s="19" t="inlineStr">
        <is>
          <t>Bag-stitching machines, total cost (₹ cr)</t>
        </is>
      </c>
      <c r="C35" s="25" t="n">
        <v>5</v>
      </c>
    </row>
    <row r="36" ht="30" customHeight="1">
      <c r="B36" s="19" t="inlineStr">
        <is>
          <t>Year of purchase</t>
        </is>
      </c>
      <c r="C36" s="25" t="inlineStr">
        <is>
          <t>FY29</t>
        </is>
      </c>
    </row>
    <row r="37" ht="30" customHeight="1">
      <c r="B37" s="19" t="inlineStr">
        <is>
          <t>Machine life (years)</t>
        </is>
      </c>
      <c r="C37" s="25" t="n">
        <v>5</v>
      </c>
    </row>
    <row r="38" ht="30" customHeight="1">
      <c r="B38" s="19" t="inlineStr">
        <is>
          <t>Additional depreciation (FY29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0.15</v>
      </c>
    </row>
    <row r="40" ht="30" customHeight="1">
      <c r="B40" s="19" t="inlineStr">
        <is>
          <t>Working capital at 31 Mar 2026 (₹ cr)</t>
        </is>
      </c>
      <c r="C40" s="25" t="n">
        <v>18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30</v>
      </c>
    </row>
    <row r="43" ht="30" customHeight="1">
      <c r="B43" s="19" t="inlineStr">
        <is>
          <t>Interest cost (%)</t>
        </is>
      </c>
      <c r="C43" s="45" t="n">
        <v>0.12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