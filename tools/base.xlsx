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d.docs.live.net/8a8a9a0de926cee5/Skills On/College Engagement/Mesa School/UG C1^J Sem 1 - 2025-26/Financial Modelling/S12. Putting it all together (contd.)/Pre-session files - Session 11 - FMAV^J Mesa^J 26-27/"/>
    </mc:Choice>
  </mc:AlternateContent>
  <xr:revisionPtr revIDLastSave="173" documentId="13_ncr:1_{547F1CA9-666B-9049-868F-D0CF4C13DC16}" xr6:coauthVersionLast="47" xr6:coauthVersionMax="47" xr10:uidLastSave="{87379EA5-4C86-D241-B620-4211B12EC2E1}"/>
  <bookViews>
    <workbookView xWindow="0" yWindow="660" windowWidth="29400" windowHeight="17240" tabRatio="500" activeTab="5" xr2:uid="{00000000-000D-0000-FFFF-FFFF00000000}"/>
  </bookViews>
  <sheets>
    <sheet name="Financials&gt;&gt;" sheetId="6" r:id="rId1"/>
    <sheet name="Offline retail" sheetId="1" r:id="rId2"/>
    <sheet name="D2C" sheetId="2" r:id="rId3"/>
    <sheet name="Consolidated " sheetId="5" r:id="rId4"/>
    <sheet name="Valuation&gt;&gt;" sheetId="8" r:id="rId5"/>
    <sheet name="DCF (FCFE)" sheetId="13" r:id="rId6"/>
    <sheet name="Relative Valuation" sheetId="4" r:id="rId7"/>
    <sheet name="Sum of parts" sheetId="9" r:id="rId8"/>
    <sheet name="First Chicago" sheetId="10" r:id="rId9"/>
    <sheet name="Exit Pegged Valuation" sheetId="15" r:id="rId10"/>
    <sheet name="Football Field" sheetId="11" r:id="rId11"/>
    <sheet name="Assumptio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" i="5" l="1"/>
  <c r="I22" i="5"/>
  <c r="H22" i="5"/>
  <c r="G22" i="5"/>
  <c r="F22" i="5"/>
  <c r="E22" i="5"/>
  <c r="D22" i="5"/>
  <c r="C22" i="5"/>
  <c r="I21" i="5"/>
  <c r="H21" i="5"/>
  <c r="G21" i="5"/>
  <c r="F21" i="5"/>
  <c r="E21" i="5"/>
  <c r="D21" i="5"/>
  <c r="C21" i="5"/>
  <c r="H20" i="5"/>
  <c r="G20" i="5"/>
  <c r="F20" i="5"/>
  <c r="E20" i="5"/>
  <c r="D20" i="5"/>
  <c r="C20" i="5"/>
  <c r="I19" i="5"/>
  <c r="H19" i="5"/>
  <c r="G19" i="5"/>
  <c r="F19" i="5"/>
  <c r="I17" i="5"/>
  <c r="H17" i="5"/>
  <c r="G17" i="5"/>
  <c r="F17" i="5"/>
  <c r="F15" i="5"/>
  <c r="G15" i="5" s="1"/>
  <c r="H15" i="5" s="1"/>
  <c r="I15" i="5" s="1"/>
  <c r="F14" i="5"/>
  <c r="G14" i="5" s="1"/>
  <c r="H14" i="5" s="1"/>
  <c r="I14" i="5" s="1"/>
  <c r="F13" i="5"/>
  <c r="G13" i="5" s="1"/>
  <c r="H13" i="5" s="1"/>
  <c r="I13" i="5" s="1"/>
  <c r="F12" i="5"/>
  <c r="G12" i="5" s="1"/>
  <c r="H12" i="5" s="1"/>
  <c r="I12" i="5" s="1"/>
  <c r="I10" i="5"/>
  <c r="H10" i="5"/>
  <c r="G10" i="5"/>
  <c r="I9" i="5"/>
  <c r="H9" i="5"/>
  <c r="H11" i="5" s="1"/>
  <c r="H16" i="5" s="1"/>
  <c r="H18" i="5" s="1"/>
  <c r="G9" i="5"/>
  <c r="G11" i="5" s="1"/>
  <c r="G16" i="5" s="1"/>
  <c r="G18" i="5" s="1"/>
  <c r="F10" i="5"/>
  <c r="F9" i="5"/>
  <c r="F11" i="5" s="1"/>
  <c r="F16" i="5" s="1"/>
  <c r="F18" i="5" s="1"/>
  <c r="I7" i="5"/>
  <c r="H7" i="5"/>
  <c r="G7" i="5"/>
  <c r="I6" i="5"/>
  <c r="I8" i="5" s="1"/>
  <c r="H6" i="5"/>
  <c r="H8" i="5" s="1"/>
  <c r="G6" i="5"/>
  <c r="G8" i="5" s="1"/>
  <c r="F7" i="5"/>
  <c r="F6" i="5"/>
  <c r="F8" i="5" s="1"/>
  <c r="I16" i="2"/>
  <c r="H16" i="2"/>
  <c r="G16" i="2"/>
  <c r="F16" i="2"/>
  <c r="I15" i="2"/>
  <c r="H15" i="2"/>
  <c r="G15" i="2"/>
  <c r="F15" i="2"/>
  <c r="I14" i="2"/>
  <c r="H14" i="2"/>
  <c r="G14" i="2"/>
  <c r="F14" i="2"/>
  <c r="I13" i="2"/>
  <c r="H13" i="2"/>
  <c r="G13" i="2"/>
  <c r="F13" i="2"/>
  <c r="I12" i="2"/>
  <c r="H12" i="2"/>
  <c r="G12" i="2"/>
  <c r="F12" i="2"/>
  <c r="I11" i="2"/>
  <c r="H11" i="2"/>
  <c r="G11" i="2"/>
  <c r="F11" i="2"/>
  <c r="I10" i="2"/>
  <c r="H10" i="2"/>
  <c r="G10" i="2"/>
  <c r="F10" i="2"/>
  <c r="I9" i="2"/>
  <c r="H9" i="2"/>
  <c r="G9" i="2"/>
  <c r="F9" i="2"/>
  <c r="I8" i="2"/>
  <c r="H8" i="2"/>
  <c r="G8" i="2"/>
  <c r="F8" i="2"/>
  <c r="F7" i="2"/>
  <c r="G6" i="2"/>
  <c r="H6" i="2" s="1"/>
  <c r="I6" i="2" s="1"/>
  <c r="F6" i="2"/>
  <c r="I18" i="1"/>
  <c r="H18" i="1"/>
  <c r="G18" i="1"/>
  <c r="F18" i="1"/>
  <c r="F17" i="1"/>
  <c r="G17" i="1" s="1"/>
  <c r="H17" i="1" s="1"/>
  <c r="I17" i="1" s="1"/>
  <c r="G16" i="1"/>
  <c r="H16" i="1" s="1"/>
  <c r="I16" i="1" s="1"/>
  <c r="F16" i="1"/>
  <c r="I15" i="1"/>
  <c r="H15" i="1"/>
  <c r="G15" i="1"/>
  <c r="F15" i="1"/>
  <c r="I14" i="1"/>
  <c r="H14" i="1"/>
  <c r="G14" i="1"/>
  <c r="F14" i="1"/>
  <c r="I13" i="1"/>
  <c r="H13" i="1"/>
  <c r="G13" i="1"/>
  <c r="I12" i="1"/>
  <c r="H12" i="1"/>
  <c r="G12" i="1"/>
  <c r="F12" i="1"/>
  <c r="I11" i="1"/>
  <c r="H11" i="1"/>
  <c r="G11" i="1"/>
  <c r="F13" i="1"/>
  <c r="F11" i="1"/>
  <c r="I10" i="1"/>
  <c r="H10" i="1"/>
  <c r="G10" i="1"/>
  <c r="F10" i="1"/>
  <c r="I9" i="1"/>
  <c r="H9" i="1"/>
  <c r="G9" i="1"/>
  <c r="F9" i="1"/>
  <c r="I8" i="1"/>
  <c r="H8" i="1"/>
  <c r="G8" i="1"/>
  <c r="F8" i="1"/>
  <c r="G7" i="1"/>
  <c r="H7" i="1" s="1"/>
  <c r="I7" i="1" s="1"/>
  <c r="F7" i="1"/>
  <c r="G6" i="1"/>
  <c r="H6" i="1" s="1"/>
  <c r="I6" i="1" s="1"/>
  <c r="F6" i="1"/>
  <c r="E16" i="2"/>
  <c r="E14" i="2"/>
  <c r="D14" i="2"/>
  <c r="C14" i="2"/>
  <c r="C38" i="12"/>
  <c r="E8" i="2"/>
  <c r="D8" i="2"/>
  <c r="C8" i="2"/>
  <c r="E8" i="1"/>
  <c r="D8" i="1"/>
  <c r="C8" i="1"/>
  <c r="I11" i="5" l="1"/>
  <c r="I16" i="5" s="1"/>
  <c r="I18" i="5" s="1"/>
  <c r="G7" i="2"/>
  <c r="H7" i="2" s="1"/>
  <c r="I7" i="2" s="1"/>
  <c r="E10" i="2"/>
  <c r="E10" i="5" s="1"/>
  <c r="E7" i="5"/>
  <c r="D10" i="2"/>
  <c r="D16" i="2" s="1"/>
  <c r="D10" i="5" s="1"/>
  <c r="D7" i="5"/>
  <c r="C10" i="2"/>
  <c r="C16" i="2" s="1"/>
  <c r="C10" i="5" s="1"/>
  <c r="C7" i="5"/>
  <c r="E10" i="1"/>
  <c r="E13" i="1" s="1"/>
  <c r="E15" i="1" s="1"/>
  <c r="E18" i="1" s="1"/>
  <c r="E9" i="5" s="1"/>
  <c r="E6" i="5"/>
  <c r="D10" i="1"/>
  <c r="D13" i="1" s="1"/>
  <c r="D15" i="1" s="1"/>
  <c r="D18" i="1" s="1"/>
  <c r="D9" i="5" s="1"/>
  <c r="D6" i="5"/>
  <c r="D8" i="5" s="1"/>
  <c r="C10" i="1"/>
  <c r="C13" i="1" s="1"/>
  <c r="C15" i="1" s="1"/>
  <c r="C18" i="1" s="1"/>
  <c r="C9" i="5" s="1"/>
  <c r="C6" i="5"/>
  <c r="C8" i="5" s="1"/>
  <c r="E8" i="5" l="1"/>
  <c r="C11" i="5"/>
  <c r="C16" i="5" s="1"/>
  <c r="C18" i="5" s="1"/>
  <c r="D11" i="5"/>
  <c r="D16" i="5" s="1"/>
  <c r="D18" i="5" s="1"/>
  <c r="E11" i="5"/>
  <c r="E16" i="5" s="1"/>
  <c r="E18" i="5" s="1"/>
</calcChain>
</file>

<file path=xl/sharedStrings.xml><?xml version="1.0" encoding="utf-8"?>
<sst xmlns="http://schemas.openxmlformats.org/spreadsheetml/2006/main" count="196" uniqueCount="105">
  <si>
    <t>FY27</t>
  </si>
  <si>
    <t>FY28</t>
  </si>
  <si>
    <t>FY29</t>
  </si>
  <si>
    <t>FY30</t>
  </si>
  <si>
    <t>Profit and loss</t>
  </si>
  <si>
    <t>FY24</t>
  </si>
  <si>
    <t>FY25</t>
  </si>
  <si>
    <t>FY26</t>
  </si>
  <si>
    <t>Bags revenue</t>
  </si>
  <si>
    <t>Accessories revenue</t>
  </si>
  <si>
    <t>Total revenue</t>
  </si>
  <si>
    <t>Gross margin</t>
  </si>
  <si>
    <t>Store rent</t>
  </si>
  <si>
    <t>Store staff</t>
  </si>
  <si>
    <t>Offline contribution</t>
  </si>
  <si>
    <t>Performance marketing</t>
  </si>
  <si>
    <t>Payment gateway charges</t>
  </si>
  <si>
    <t>D2C contribution</t>
  </si>
  <si>
    <t>Year of purchase</t>
  </si>
  <si>
    <t>Tax rate</t>
  </si>
  <si>
    <t>Total contribution</t>
  </si>
  <si>
    <t>EBITDA</t>
  </si>
  <si>
    <t>Depreciation</t>
  </si>
  <si>
    <t>Profit before tax</t>
  </si>
  <si>
    <t>Tax</t>
  </si>
  <si>
    <t>Profit after tax</t>
  </si>
  <si>
    <t>Valuation</t>
  </si>
  <si>
    <t>Scenarios</t>
  </si>
  <si>
    <t>Case</t>
  </si>
  <si>
    <t>Multiple of base</t>
  </si>
  <si>
    <t>Downside</t>
  </si>
  <si>
    <t>Base</t>
  </si>
  <si>
    <t>Upside</t>
  </si>
  <si>
    <t>Contribution Margin-1</t>
  </si>
  <si>
    <t>Performance Marketing</t>
  </si>
  <si>
    <t>Contribution Margin-2</t>
  </si>
  <si>
    <t>Particulars</t>
  </si>
  <si>
    <t>x</t>
  </si>
  <si>
    <t>Offline retail stores</t>
  </si>
  <si>
    <t>All figures in ₹ crore</t>
  </si>
  <si>
    <t>D2C &amp; App</t>
  </si>
  <si>
    <t>Consolidated financials</t>
  </si>
  <si>
    <t>Add: non-cash expenses</t>
  </si>
  <si>
    <t>Less: Capex for engraving machines</t>
  </si>
  <si>
    <t>Calculating value of Cool Nomad using DCF</t>
  </si>
  <si>
    <t>Discounting factor</t>
  </si>
  <si>
    <t>Terminal growth rate</t>
  </si>
  <si>
    <t>Years to discount</t>
  </si>
  <si>
    <t>Terminal value</t>
  </si>
  <si>
    <t>Present value of free cash flows</t>
  </si>
  <si>
    <t>Present value of terminal value</t>
  </si>
  <si>
    <t>Offline retail</t>
  </si>
  <si>
    <t>D2C</t>
  </si>
  <si>
    <t>Corporate</t>
  </si>
  <si>
    <t>Value</t>
  </si>
  <si>
    <t>Cost of goods sold</t>
  </si>
  <si>
    <t>Head office salaries</t>
  </si>
  <si>
    <t>Brand marketing</t>
  </si>
  <si>
    <t>Technology and platform</t>
  </si>
  <si>
    <t>Other general and administrative</t>
  </si>
  <si>
    <t>Working for working capital</t>
  </si>
  <si>
    <t>Working capital</t>
  </si>
  <si>
    <t>Increase</t>
  </si>
  <si>
    <t>Offline revenue</t>
  </si>
  <si>
    <t>D2C revenue</t>
  </si>
  <si>
    <t>Sum of parts valuation</t>
  </si>
  <si>
    <t>Relative Valuation</t>
  </si>
  <si>
    <t>First Chicago Method</t>
  </si>
  <si>
    <t>Football field</t>
  </si>
  <si>
    <t>Engraving machines, total cost (₹ cr)</t>
  </si>
  <si>
    <t>Depreciation on existing fit-outs p.a. (₹ cr) (FY26 onwards)</t>
  </si>
  <si>
    <t>Machine life (years)</t>
  </si>
  <si>
    <t>Additional depreciation (FY28 onwards)</t>
  </si>
  <si>
    <t>Working capital (% of revenue)</t>
  </si>
  <si>
    <t>Working capital at 31 Mar 2026 (₹ cr)</t>
  </si>
  <si>
    <t>Assumptions Sheet</t>
  </si>
  <si>
    <t>Shipping (% of revenue)</t>
  </si>
  <si>
    <t>Payment gateway (% of revenue)</t>
  </si>
  <si>
    <t>Performance marketing (% of revenue)</t>
  </si>
  <si>
    <t>Gross margin (% of revenue)</t>
  </si>
  <si>
    <t>Bags revenue growth (YoY)</t>
  </si>
  <si>
    <t>Accessories revenue growth (YoY)</t>
  </si>
  <si>
    <t>Store rent (YoY)</t>
  </si>
  <si>
    <t>Store staff (YoY)</t>
  </si>
  <si>
    <t>Common cost growth (YoY)</t>
  </si>
  <si>
    <t>Shipping</t>
  </si>
  <si>
    <t>Packaging</t>
  </si>
  <si>
    <t>Packaging (% of revenue)</t>
  </si>
  <si>
    <r>
      <t xml:space="preserve">Cash profit </t>
    </r>
    <r>
      <rPr>
        <i/>
        <sz val="13"/>
        <color theme="1"/>
        <rFont val="Arial"/>
        <family val="2"/>
      </rPr>
      <t>(for equity holders)</t>
    </r>
  </si>
  <si>
    <r>
      <t xml:space="preserve">Less: </t>
    </r>
    <r>
      <rPr>
        <b/>
        <sz val="13"/>
        <color theme="1"/>
        <rFont val="Arial"/>
        <family val="2"/>
      </rPr>
      <t>Additional</t>
    </r>
    <r>
      <rPr>
        <sz val="13"/>
        <color theme="1"/>
        <rFont val="Arial"/>
        <family val="2"/>
      </rPr>
      <t xml:space="preserve"> working capital required</t>
    </r>
  </si>
  <si>
    <r>
      <t xml:space="preserve">Free cash flows for </t>
    </r>
    <r>
      <rPr>
        <i/>
        <sz val="13"/>
        <color theme="1"/>
        <rFont val="Arial"/>
        <family val="2"/>
      </rPr>
      <t>equity</t>
    </r>
    <r>
      <rPr>
        <b/>
        <sz val="13"/>
        <color theme="1"/>
        <rFont val="Arial"/>
        <family val="2"/>
      </rPr>
      <t xml:space="preserve"> (FCFE)</t>
    </r>
  </si>
  <si>
    <t>Equity value as per DCF</t>
  </si>
  <si>
    <t>Calculating Internal Rate of Return (IRR)</t>
  </si>
  <si>
    <t>Cash flows</t>
  </si>
  <si>
    <t>Discounted Cash Flow Valuation (FCFE)</t>
  </si>
  <si>
    <t>Calculating Net Present Value (NPV)</t>
  </si>
  <si>
    <t>Investor's preferred value</t>
  </si>
  <si>
    <t>Founder's preferred value</t>
  </si>
  <si>
    <t>Net present Value (NPV)</t>
  </si>
  <si>
    <t>Internal Rate of Return (IRR)</t>
  </si>
  <si>
    <t>Debt as on 31/3/2026 (₹ cr)</t>
  </si>
  <si>
    <t>Interest cost (%)</t>
  </si>
  <si>
    <t>Equity as on 31/3/2026 (₹ cr)</t>
  </si>
  <si>
    <t>EBIT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</si>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</sst>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\-"/>
    <numFmt numFmtId="165" formatCode="#,##0;\(#,##0\);\-"/>
    <numFmt numFmtId="166" formatCode="#,##0.0_);\(#,##0.0\)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i/>
      <sz val="13"/>
      <color rgb="FF777777"/>
      <name val="Arial"/>
      <family val="2"/>
    </font>
    <font>
      <sz val="13"/>
      <color theme="1"/>
      <name val="Calibri"/>
      <family val="2"/>
      <charset val="1"/>
    </font>
    <font>
      <b/>
      <sz val="13"/>
      <name val="Arial"/>
      <family val="2"/>
    </font>
    <font>
      <sz val="13"/>
      <name val="Arial"/>
      <family val="2"/>
    </font>
    <font>
      <b/>
      <sz val="13"/>
      <color theme="1"/>
      <name val="Calibri"/>
      <family val="2"/>
      <charset val="1"/>
    </font>
    <font>
      <b/>
      <sz val="13"/>
      <color theme="0"/>
      <name val="Arial"/>
      <family val="2"/>
    </font>
    <font>
      <b/>
      <sz val="13"/>
      <color theme="1"/>
      <name val="Arial"/>
      <family val="2"/>
    </font>
    <font>
      <b/>
      <sz val="18"/>
      <color theme="1"/>
      <name val="Arial"/>
      <family val="2"/>
    </font>
    <font>
      <b/>
      <sz val="13"/>
      <color theme="1"/>
      <name val="Calibri"/>
      <family val="2"/>
    </font>
    <font>
      <sz val="13"/>
      <color theme="1"/>
      <name val="Arial"/>
      <family val="2"/>
    </font>
    <font>
      <b/>
      <sz val="10"/>
      <color rgb="FF6B4E1E"/>
      <name val="Arial"/>
      <family val="2"/>
    </font>
    <font>
      <i/>
      <sz val="13"/>
      <color theme="1"/>
      <name val="Arial"/>
      <family val="2"/>
    </font>
    <font>
      <b/>
      <sz val="13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2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">
    <xf numFmtId="0" fontId="0" fillId="0" borderId="0"/>
    <xf numFmtId="9" fontId="1" fillId="0" borderId="0" applyBorder="0" applyAlignment="0" applyProtection="0"/>
    <xf numFmtId="0" fontId="2" fillId="2" borderId="1" applyNumberFormat="0" applyFont="0" applyAlignment="0" applyProtection="0"/>
  </cellStyleXfs>
  <cellXfs count="7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7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5" borderId="2" xfId="0" applyFont="1" applyFill="1" applyBorder="1" applyAlignment="1">
      <alignment vertical="center"/>
    </xf>
    <xf numFmtId="164" fontId="9" fillId="5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7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8" fillId="7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8" fillId="8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164" fontId="12" fillId="2" borderId="2" xfId="2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9" fillId="6" borderId="2" xfId="0" applyFont="1" applyFill="1" applyBorder="1" applyAlignment="1">
      <alignment vertical="center"/>
    </xf>
    <xf numFmtId="164" fontId="9" fillId="6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164" fontId="9" fillId="5" borderId="7" xfId="0" applyNumberFormat="1" applyFont="1" applyFill="1" applyBorder="1" applyAlignment="1">
      <alignment horizontal="center" vertical="center"/>
    </xf>
    <xf numFmtId="0" fontId="13" fillId="0" borderId="0" xfId="0" applyFont="1"/>
    <xf numFmtId="166" fontId="9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164" fontId="12" fillId="0" borderId="3" xfId="0" applyNumberFormat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0" fontId="9" fillId="9" borderId="2" xfId="0" applyFont="1" applyFill="1" applyBorder="1" applyAlignment="1">
      <alignment vertical="center"/>
    </xf>
    <xf numFmtId="164" fontId="9" fillId="9" borderId="2" xfId="0" applyNumberFormat="1" applyFont="1" applyFill="1" applyBorder="1" applyAlignment="1">
      <alignment horizontal="center" vertical="center"/>
    </xf>
    <xf numFmtId="9" fontId="6" fillId="10" borderId="2" xfId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12" fillId="4" borderId="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64" fontId="9" fillId="3" borderId="0" xfId="0" applyNumberFormat="1" applyFont="1" applyFill="1" applyAlignment="1">
      <alignment horizontal="center" vertical="center"/>
    </xf>
    <xf numFmtId="9" fontId="1" fillId="0" borderId="0" xfId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12" fillId="3" borderId="2" xfId="0" applyNumberFormat="1" applyFont="1" applyFill="1" applyBorder="1" applyAlignment="1">
      <alignment horizontal="center" vertical="center"/>
    </xf>
    <xf numFmtId="14" fontId="8" fillId="7" borderId="2" xfId="0" applyNumberFormat="1" applyFont="1" applyFill="1" applyBorder="1" applyAlignment="1">
      <alignment horizontal="center" vertical="center"/>
    </xf>
    <xf numFmtId="9" fontId="5" fillId="5" borderId="2" xfId="1" applyFont="1" applyFill="1" applyBorder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9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vertical="center"/>
    </xf>
    <xf numFmtId="164" fontId="15" fillId="11" borderId="0" xfId="0" applyNumberFormat="1" applyFont="1" applyFill="1" applyAlignment="1">
      <alignment horizontal="center" vertical="center"/>
    </xf>
    <xf numFmtId="9" fontId="1" fillId="0" borderId="0" xfId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2" fillId="4" borderId="2" xfId="0" applyFont="1" applyFill="1" applyBorder="1" applyAlignment="1">
      <alignment vertical="center"/>
    </xf>
    <xf numFmtId="166" fontId="12" fillId="4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2" fontId="5" fillId="5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te" xfId="2" builtinId="1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BBDE-4956-AE4C-B6AD-33287142CCCE}">
  <sheetPr>
    <tabColor theme="2" tint="-0.89999084444715716"/>
  </sheetPr>
  <dimension ref="A1"/>
  <sheetViews>
    <sheetView showGridLines="0" workbookViewId="0"/>
  </sheetViews>
  <sheetFormatPr baseColWidth="10" defaultRowHeight="30" customHeight="1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zoomScale="131" zoomScaleNormal="100" workbookViewId="0"/>
  </sheetViews>
  <sheetFormatPr baseColWidth="10" defaultColWidth="8.6640625" defaultRowHeight="30" customHeight="1" x14ac:dyDescent="0.2"/>
  <cols>
    <col min="1" max="1" width="6" style="5" customWidth="1"/>
    <col min="2" max="2" width="36.83203125" style="5" customWidth="1"/>
    <col min="3" max="9" width="12" style="4" customWidth="1"/>
    <col min="10" max="10" width="12" style="5" customWidth="1"/>
    <col min="11" max="16384" width="8.6640625" style="5"/>
  </cols>
  <sheetData>
    <row r="1" spans="1:9" s="2" customFormat="1" ht="30" customHeight="1" x14ac:dyDescent="0.2">
      <c r="A1" s="11" t="s">
        <v>38</v>
      </c>
      <c r="C1" s="3"/>
      <c r="D1" s="3"/>
      <c r="E1" s="3"/>
      <c r="F1" s="3"/>
      <c r="G1" s="3"/>
      <c r="H1" s="3"/>
      <c r="I1" s="3"/>
    </row>
    <row r="2" spans="1:9" ht="24" customHeight="1" x14ac:dyDescent="0.2">
      <c r="A2" s="12" t="s">
        <v>39</v>
      </c>
    </row>
    <row r="4" spans="1:9" ht="30" customHeight="1" x14ac:dyDescent="0.2">
      <c r="A4" s="4" t="s">
        <v>37</v>
      </c>
      <c r="B4" s="6" t="s">
        <v>4</v>
      </c>
    </row>
    <row r="5" spans="1:9" ht="30" customHeight="1" x14ac:dyDescent="0.2">
      <c r="B5" s="9" t="s">
        <v>36</v>
      </c>
      <c r="C5" s="23" t="s">
        <v>5</v>
      </c>
      <c r="D5" s="23" t="s">
        <v>6</v>
      </c>
      <c r="E5" s="23" t="s">
        <v>7</v>
      </c>
      <c r="F5" s="10" t="s">
        <v>0</v>
      </c>
      <c r="G5" s="10" t="s">
        <v>1</v>
      </c>
      <c r="H5" s="10" t="s">
        <v>2</v>
      </c>
      <c r="I5" s="10" t="s">
        <v>3</v>
      </c>
    </row>
    <row r="6" spans="1:9" ht="30" customHeight="1" x14ac:dyDescent="0.2">
      <c r="B6" s="24" t="s">
        <v>8</v>
      </c>
      <c r="C6" s="25">
        <v>8</v>
      </c>
      <c r="D6" s="25">
        <v>23</v>
      </c>
      <c r="E6" s="25">
        <v>53</v>
      </c>
      <c r="F6" s="26">
        <f>E6*(1+Assumptions!C6)</f>
        <v>76.849999999999994</v>
      </c>
      <c r="G6" s="26">
        <f>F6*(1+Assumptions!D6)</f>
        <v>103.7475</v>
      </c>
      <c r="H6" s="26">
        <f>G6*(1+Assumptions!E6)</f>
        <v>132.79680000000002</v>
      </c>
      <c r="I6" s="26">
        <f>H6*(1+Assumptions!F6)</f>
        <v>162.01209600000001</v>
      </c>
    </row>
    <row r="7" spans="1:9" ht="30" customHeight="1" x14ac:dyDescent="0.2">
      <c r="B7" s="24" t="s">
        <v>9</v>
      </c>
      <c r="C7" s="25">
        <v>2</v>
      </c>
      <c r="D7" s="25">
        <v>7</v>
      </c>
      <c r="E7" s="25">
        <v>17</v>
      </c>
      <c r="F7" s="26">
        <f>E7*(1+Assumptions!C7)</f>
        <v>26.35</v>
      </c>
      <c r="G7" s="26">
        <f>F7*(1+Assumptions!D7)</f>
        <v>38.207500000000003</v>
      </c>
      <c r="H7" s="26">
        <f>G7*(1+Assumptions!E7)</f>
        <v>51.58012500000001</v>
      </c>
      <c r="I7" s="26">
        <f>H7*(1+Assumptions!F7)</f>
        <v>66.022560000000013</v>
      </c>
    </row>
    <row r="8" spans="1:9" ht="30" customHeight="1" x14ac:dyDescent="0.2">
      <c r="B8" s="13" t="s">
        <v>10</v>
      </c>
      <c r="C8" s="31">
        <f t="shared" ref="C8:E8" si="0">C6+C7</f>
        <v>10</v>
      </c>
      <c r="D8" s="31">
        <f t="shared" si="0"/>
        <v>30</v>
      </c>
      <c r="E8" s="31">
        <f t="shared" si="0"/>
        <v>70</v>
      </c>
      <c r="F8" s="14">
        <f>F6+F7</f>
        <v>103.19999999999999</v>
      </c>
      <c r="G8" s="14">
        <f t="shared" ref="G8:I8" si="1">G6+G7</f>
        <v>141.95500000000001</v>
      </c>
      <c r="H8" s="14">
        <f t="shared" si="1"/>
        <v>184.37692500000003</v>
      </c>
      <c r="I8" s="14">
        <f t="shared" si="1"/>
        <v>228.03465600000004</v>
      </c>
    </row>
    <row r="9" spans="1:9" ht="30" customHeight="1" x14ac:dyDescent="0.2">
      <c r="B9" s="30" t="s">
        <v>55</v>
      </c>
      <c r="C9" s="25">
        <v>5.5</v>
      </c>
      <c r="D9" s="25">
        <v>15.6</v>
      </c>
      <c r="E9" s="25">
        <v>35</v>
      </c>
      <c r="F9" s="27">
        <f>F8*(1-Assumptions!C8)</f>
        <v>51.599999999999994</v>
      </c>
      <c r="G9" s="27">
        <f>G8*(1-Assumptions!D8)</f>
        <v>70.977500000000006</v>
      </c>
      <c r="H9" s="27">
        <f>H8*(1-Assumptions!E8)</f>
        <v>92.188462500000014</v>
      </c>
      <c r="I9" s="27">
        <f>I8*(1-Assumptions!F8)</f>
        <v>114.01732800000002</v>
      </c>
    </row>
    <row r="10" spans="1:9" s="8" customFormat="1" ht="30" customHeight="1" x14ac:dyDescent="0.2">
      <c r="B10" s="28" t="s">
        <v>11</v>
      </c>
      <c r="C10" s="29">
        <f>C8-C9</f>
        <v>4.5</v>
      </c>
      <c r="D10" s="29">
        <f t="shared" ref="D10:E10" si="2">D8-D9</f>
        <v>14.4</v>
      </c>
      <c r="E10" s="29">
        <f t="shared" si="2"/>
        <v>35</v>
      </c>
      <c r="F10" s="29">
        <f>F8-F9</f>
        <v>51.599999999999994</v>
      </c>
      <c r="G10" s="29">
        <f t="shared" ref="G10:I10" si="3">G8-G9</f>
        <v>70.977500000000006</v>
      </c>
      <c r="H10" s="29">
        <f t="shared" si="3"/>
        <v>92.188462500000014</v>
      </c>
      <c r="I10" s="29">
        <f t="shared" si="3"/>
        <v>114.01732800000002</v>
      </c>
    </row>
    <row r="11" spans="1:9" ht="30" customHeight="1" x14ac:dyDescent="0.2">
      <c r="B11" s="30" t="s">
        <v>86</v>
      </c>
      <c r="C11" s="25">
        <v>0.2</v>
      </c>
      <c r="D11" s="25">
        <v>0.4</v>
      </c>
      <c r="E11" s="25">
        <v>0.8</v>
      </c>
      <c r="F11" s="27">
        <f>F$8*Assumptions!C9</f>
        <v>1.2383999999999999</v>
      </c>
      <c r="G11" s="27">
        <f>G$8*Assumptions!D9</f>
        <v>1.4195500000000001</v>
      </c>
      <c r="H11" s="27">
        <f>H$8*Assumptions!E9</f>
        <v>2.2125231000000003</v>
      </c>
      <c r="I11" s="27">
        <f>I$8*Assumptions!F9</f>
        <v>2.7364158720000007</v>
      </c>
    </row>
    <row r="12" spans="1:9" ht="30" customHeight="1" x14ac:dyDescent="0.2">
      <c r="B12" s="30" t="s">
        <v>16</v>
      </c>
      <c r="C12" s="25">
        <v>0.1</v>
      </c>
      <c r="D12" s="25">
        <v>0.3</v>
      </c>
      <c r="E12" s="25">
        <v>0.6</v>
      </c>
      <c r="F12" s="27">
        <f>F$8*Assumptions!C10</f>
        <v>0.82559999999999989</v>
      </c>
      <c r="G12" s="27">
        <f>G$8*Assumptions!D10</f>
        <v>1.1356400000000002</v>
      </c>
      <c r="H12" s="27">
        <f>H$8*Assumptions!E10</f>
        <v>1.4750154000000002</v>
      </c>
      <c r="I12" s="27">
        <f>I$8*Assumptions!F10</f>
        <v>1.8242772480000005</v>
      </c>
    </row>
    <row r="13" spans="1:9" s="8" customFormat="1" ht="30" customHeight="1" x14ac:dyDescent="0.2">
      <c r="B13" s="13" t="s">
        <v>33</v>
      </c>
      <c r="C13" s="14">
        <f>C10-C11-C12</f>
        <v>4.2</v>
      </c>
      <c r="D13" s="14">
        <f t="shared" ref="D13:E13" si="4">D10-D11-D12</f>
        <v>13.7</v>
      </c>
      <c r="E13" s="14">
        <f t="shared" si="4"/>
        <v>33.6</v>
      </c>
      <c r="F13" s="14">
        <f>F10-F11-F12</f>
        <v>49.535999999999994</v>
      </c>
      <c r="G13" s="14">
        <f t="shared" ref="G13:I13" si="5">G10-G11-G12</f>
        <v>68.42231000000001</v>
      </c>
      <c r="H13" s="14">
        <f t="shared" si="5"/>
        <v>88.500924000000012</v>
      </c>
      <c r="I13" s="14">
        <f t="shared" si="5"/>
        <v>109.45663488000002</v>
      </c>
    </row>
    <row r="14" spans="1:9" ht="30" customHeight="1" x14ac:dyDescent="0.2">
      <c r="B14" s="30" t="s">
        <v>34</v>
      </c>
      <c r="C14" s="25">
        <v>0.7</v>
      </c>
      <c r="D14" s="25">
        <v>1.8</v>
      </c>
      <c r="E14" s="25">
        <v>3.5</v>
      </c>
      <c r="F14" s="27">
        <f>F$8*Assumptions!C11</f>
        <v>5.16</v>
      </c>
      <c r="G14" s="27">
        <f>G$8*Assumptions!D11</f>
        <v>7.0977500000000013</v>
      </c>
      <c r="H14" s="27">
        <f>H$8*Assumptions!E11</f>
        <v>9.2188462500000021</v>
      </c>
      <c r="I14" s="27">
        <f>I$8*Assumptions!F11</f>
        <v>11.401732800000003</v>
      </c>
    </row>
    <row r="15" spans="1:9" s="8" customFormat="1" ht="30" customHeight="1" x14ac:dyDescent="0.2">
      <c r="B15" s="13" t="s">
        <v>35</v>
      </c>
      <c r="C15" s="14">
        <f>C13-C14</f>
        <v>3.5</v>
      </c>
      <c r="D15" s="14">
        <f t="shared" ref="D15:E15" si="6">D13-D14</f>
        <v>11.899999999999999</v>
      </c>
      <c r="E15" s="14">
        <f t="shared" si="6"/>
        <v>30.1</v>
      </c>
      <c r="F15" s="14">
        <f>F13-F14</f>
        <v>44.375999999999991</v>
      </c>
      <c r="G15" s="14">
        <f t="shared" ref="G15:I15" si="7">G13-G14</f>
        <v>61.324560000000005</v>
      </c>
      <c r="H15" s="14">
        <f t="shared" si="7"/>
        <v>79.282077750000013</v>
      </c>
      <c r="I15" s="14">
        <f t="shared" si="7"/>
        <v>98.054902080000019</v>
      </c>
    </row>
    <row r="16" spans="1:9" ht="30" customHeight="1" x14ac:dyDescent="0.2">
      <c r="B16" s="30" t="s">
        <v>12</v>
      </c>
      <c r="C16" s="25">
        <v>2.4</v>
      </c>
      <c r="D16" s="25">
        <v>5.4</v>
      </c>
      <c r="E16" s="25">
        <v>9.1</v>
      </c>
      <c r="F16" s="27">
        <f>E16*(1+Assumptions!C12)</f>
        <v>12.012</v>
      </c>
      <c r="G16" s="27">
        <f>F16*(1+Assumptions!D12)</f>
        <v>15.135120000000001</v>
      </c>
      <c r="H16" s="27">
        <f>G16*(1+Assumptions!E12)</f>
        <v>18.162144000000001</v>
      </c>
      <c r="I16" s="27">
        <f>H16*(1+Assumptions!F12)</f>
        <v>21.068087040000002</v>
      </c>
    </row>
    <row r="17" spans="2:9" ht="30" customHeight="1" x14ac:dyDescent="0.2">
      <c r="B17" s="30" t="s">
        <v>13</v>
      </c>
      <c r="C17" s="25">
        <v>1.8</v>
      </c>
      <c r="D17" s="25">
        <v>4.2</v>
      </c>
      <c r="E17" s="25">
        <v>7</v>
      </c>
      <c r="F17" s="27">
        <f>E17*(1+Assumptions!C13)</f>
        <v>9.3800000000000008</v>
      </c>
      <c r="G17" s="27">
        <f>F17*(1+Assumptions!D13)</f>
        <v>12.006400000000001</v>
      </c>
      <c r="H17" s="27">
        <f>G17*(1+Assumptions!E13)</f>
        <v>14.647808000000001</v>
      </c>
      <c r="I17" s="27">
        <f>H17*(1+Assumptions!F13)</f>
        <v>17.284413440000002</v>
      </c>
    </row>
    <row r="18" spans="2:9" ht="30" customHeight="1" x14ac:dyDescent="0.2">
      <c r="B18" s="13" t="s">
        <v>14</v>
      </c>
      <c r="C18" s="14">
        <f>C15-C16-C17</f>
        <v>-0.7</v>
      </c>
      <c r="D18" s="14">
        <f t="shared" ref="D18:E18" si="8">D15-D16-D17</f>
        <v>2.299999999999998</v>
      </c>
      <c r="E18" s="14">
        <f t="shared" si="8"/>
        <v>14</v>
      </c>
      <c r="F18" s="14">
        <f>F15-F16-F17</f>
        <v>22.983999999999988</v>
      </c>
      <c r="G18" s="14">
        <f t="shared" ref="G18:I18" si="9">G15-G16-G17</f>
        <v>34.183040000000005</v>
      </c>
      <c r="H18" s="14">
        <f t="shared" si="9"/>
        <v>46.472125750000018</v>
      </c>
      <c r="I18" s="14">
        <f t="shared" si="9"/>
        <v>59.702401600000009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="150" zoomScaleNormal="100" workbookViewId="0"/>
  </sheetViews>
  <sheetFormatPr baseColWidth="10" defaultColWidth="8.6640625" defaultRowHeight="30" customHeight="1" x14ac:dyDescent="0.2"/>
  <cols>
    <col min="1" max="1" width="6.6640625" style="5" customWidth="1"/>
    <col min="2" max="2" width="34" style="5" customWidth="1"/>
    <col min="3" max="9" width="12" style="4" customWidth="1"/>
    <col min="10" max="10" width="12" style="5" customWidth="1"/>
    <col min="11" max="16384" width="8.6640625" style="5"/>
  </cols>
  <sheetData>
    <row r="1" spans="1:10" s="2" customFormat="1" ht="30" customHeight="1" x14ac:dyDescent="0.2">
      <c r="A1" s="11" t="s">
        <v>40</v>
      </c>
      <c r="C1" s="3"/>
      <c r="D1" s="3"/>
      <c r="E1" s="3"/>
      <c r="F1" s="3"/>
      <c r="G1" s="3"/>
      <c r="H1" s="3"/>
      <c r="I1" s="3"/>
      <c r="J1" s="3"/>
    </row>
    <row r="2" spans="1:10" ht="24" customHeight="1" x14ac:dyDescent="0.2">
      <c r="A2" s="12" t="s">
        <v>39</v>
      </c>
      <c r="J2" s="4"/>
    </row>
    <row r="4" spans="1:10" ht="30" customHeight="1" x14ac:dyDescent="0.2">
      <c r="A4" s="4" t="s">
        <v>37</v>
      </c>
      <c r="B4" s="6" t="s">
        <v>4</v>
      </c>
    </row>
    <row r="5" spans="1:10" ht="30" customHeight="1" x14ac:dyDescent="0.2">
      <c r="B5" s="9" t="s">
        <v>36</v>
      </c>
      <c r="C5" s="23" t="s">
        <v>5</v>
      </c>
      <c r="D5" s="23" t="s">
        <v>6</v>
      </c>
      <c r="E5" s="23" t="s">
        <v>7</v>
      </c>
      <c r="F5" s="10" t="s">
        <v>0</v>
      </c>
      <c r="G5" s="10" t="s">
        <v>1</v>
      </c>
      <c r="H5" s="10" t="s">
        <v>2</v>
      </c>
      <c r="I5" s="10" t="s">
        <v>3</v>
      </c>
    </row>
    <row r="6" spans="1:10" ht="30" customHeight="1" x14ac:dyDescent="0.2">
      <c r="B6" s="30" t="s">
        <v>8</v>
      </c>
      <c r="C6" s="25">
        <v>16</v>
      </c>
      <c r="D6" s="25">
        <v>35</v>
      </c>
      <c r="E6" s="25">
        <v>60</v>
      </c>
      <c r="F6" s="27">
        <f>E6*(1+Assumptions!C17)</f>
        <v>84</v>
      </c>
      <c r="G6" s="27">
        <f>F6*(1+Assumptions!D17)</f>
        <v>110.88000000000001</v>
      </c>
      <c r="H6" s="27">
        <f>G6*(1+Assumptions!E17)</f>
        <v>138.60000000000002</v>
      </c>
      <c r="I6" s="27">
        <f>H6*(1+Assumptions!F17)</f>
        <v>166.32000000000002</v>
      </c>
    </row>
    <row r="7" spans="1:10" ht="30" customHeight="1" x14ac:dyDescent="0.2">
      <c r="B7" s="30" t="s">
        <v>9</v>
      </c>
      <c r="C7" s="25">
        <v>4</v>
      </c>
      <c r="D7" s="25">
        <v>10</v>
      </c>
      <c r="E7" s="25">
        <v>20</v>
      </c>
      <c r="F7" s="27">
        <f>E7*(1+Assumptions!C18)</f>
        <v>30</v>
      </c>
      <c r="G7" s="27">
        <f>F7*(1+Assumptions!D18)</f>
        <v>42</v>
      </c>
      <c r="H7" s="27">
        <f>G7*(1+Assumptions!E18)</f>
        <v>55.440000000000005</v>
      </c>
      <c r="I7" s="27">
        <f>H7*(1+Assumptions!F18)</f>
        <v>69.300000000000011</v>
      </c>
    </row>
    <row r="8" spans="1:10" ht="30" customHeight="1" x14ac:dyDescent="0.2">
      <c r="B8" s="13" t="s">
        <v>10</v>
      </c>
      <c r="C8" s="31">
        <f t="shared" ref="C8:E8" si="0">C6+C7</f>
        <v>20</v>
      </c>
      <c r="D8" s="31">
        <f t="shared" si="0"/>
        <v>45</v>
      </c>
      <c r="E8" s="31">
        <f t="shared" si="0"/>
        <v>80</v>
      </c>
      <c r="F8" s="14">
        <f>F6+F7</f>
        <v>114</v>
      </c>
      <c r="G8" s="14">
        <f t="shared" ref="G8:I8" si="1">G6+G7</f>
        <v>152.88</v>
      </c>
      <c r="H8" s="14">
        <f t="shared" si="1"/>
        <v>194.04000000000002</v>
      </c>
      <c r="I8" s="14">
        <f t="shared" si="1"/>
        <v>235.62000000000003</v>
      </c>
    </row>
    <row r="9" spans="1:10" ht="30" customHeight="1" x14ac:dyDescent="0.2">
      <c r="B9" s="30" t="s">
        <v>55</v>
      </c>
      <c r="C9" s="25">
        <v>10.199999999999999</v>
      </c>
      <c r="D9" s="25">
        <v>22.1</v>
      </c>
      <c r="E9" s="25">
        <v>37.6</v>
      </c>
      <c r="F9" s="27">
        <f>F8*(1-Assumptions!C19)</f>
        <v>53.58</v>
      </c>
      <c r="G9" s="27">
        <f>G8*(1-Assumptions!D19)</f>
        <v>71.8536</v>
      </c>
      <c r="H9" s="27">
        <f>H8*(1-Assumptions!E19)</f>
        <v>91.198800000000006</v>
      </c>
      <c r="I9" s="27">
        <f>I8*(1-Assumptions!F19)</f>
        <v>110.74140000000001</v>
      </c>
    </row>
    <row r="10" spans="1:10" s="8" customFormat="1" ht="30" customHeight="1" x14ac:dyDescent="0.2">
      <c r="B10" s="13" t="s">
        <v>11</v>
      </c>
      <c r="C10" s="29">
        <f>C8-C9</f>
        <v>9.8000000000000007</v>
      </c>
      <c r="D10" s="29">
        <f t="shared" ref="D10:E10" si="2">D8-D9</f>
        <v>22.9</v>
      </c>
      <c r="E10" s="29">
        <f t="shared" si="2"/>
        <v>42.4</v>
      </c>
      <c r="F10" s="29">
        <f>F8-F9</f>
        <v>60.42</v>
      </c>
      <c r="G10" s="29">
        <f t="shared" ref="G10:I10" si="3">G8-G9</f>
        <v>81.026399999999995</v>
      </c>
      <c r="H10" s="29">
        <f t="shared" si="3"/>
        <v>102.84120000000001</v>
      </c>
      <c r="I10" s="29">
        <f t="shared" si="3"/>
        <v>124.87860000000002</v>
      </c>
    </row>
    <row r="11" spans="1:10" ht="30" customHeight="1" x14ac:dyDescent="0.2">
      <c r="B11" s="30" t="s">
        <v>86</v>
      </c>
      <c r="C11" s="25">
        <v>0.3</v>
      </c>
      <c r="D11" s="25">
        <v>0.7</v>
      </c>
      <c r="E11" s="25">
        <v>1.2</v>
      </c>
      <c r="F11" s="27">
        <f>F$8*Assumptions!C20</f>
        <v>1.71</v>
      </c>
      <c r="G11" s="27">
        <f>G$8*Assumptions!D20</f>
        <v>2.2931999999999997</v>
      </c>
      <c r="H11" s="27">
        <f>H$8*Assumptions!E20</f>
        <v>2.9106000000000001</v>
      </c>
      <c r="I11" s="27">
        <f>I$8*Assumptions!F20</f>
        <v>3.5343000000000004</v>
      </c>
    </row>
    <row r="12" spans="1:10" ht="30" customHeight="1" x14ac:dyDescent="0.2">
      <c r="B12" s="30" t="s">
        <v>16</v>
      </c>
      <c r="C12" s="25">
        <v>0.3</v>
      </c>
      <c r="D12" s="25">
        <v>0.7</v>
      </c>
      <c r="E12" s="25">
        <v>1.2</v>
      </c>
      <c r="F12" s="27">
        <f>F$8*Assumptions!C21</f>
        <v>1.71</v>
      </c>
      <c r="G12" s="27">
        <f>G$8*Assumptions!D21</f>
        <v>2.2931999999999997</v>
      </c>
      <c r="H12" s="27">
        <f>H$8*Assumptions!E21</f>
        <v>2.9106000000000001</v>
      </c>
      <c r="I12" s="27">
        <f>I$8*Assumptions!F21</f>
        <v>3.5343000000000004</v>
      </c>
    </row>
    <row r="13" spans="1:10" ht="30" customHeight="1" x14ac:dyDescent="0.2">
      <c r="B13" s="30" t="s">
        <v>85</v>
      </c>
      <c r="C13" s="25">
        <v>0.6</v>
      </c>
      <c r="D13" s="25">
        <v>1.3</v>
      </c>
      <c r="E13" s="25">
        <v>2</v>
      </c>
      <c r="F13" s="27">
        <f>F$8*Assumptions!C22</f>
        <v>2.85</v>
      </c>
      <c r="G13" s="27">
        <f>G$8*Assumptions!D22</f>
        <v>3.8220000000000001</v>
      </c>
      <c r="H13" s="27">
        <f>H$8*Assumptions!E22</f>
        <v>4.8510000000000009</v>
      </c>
      <c r="I13" s="27">
        <f>I$8*Assumptions!F22</f>
        <v>5.8905000000000012</v>
      </c>
    </row>
    <row r="14" spans="1:10" s="8" customFormat="1" ht="30" customHeight="1" x14ac:dyDescent="0.2">
      <c r="B14" s="28" t="s">
        <v>33</v>
      </c>
      <c r="C14" s="14">
        <f>C10-C11-C12-C13</f>
        <v>8.6</v>
      </c>
      <c r="D14" s="14">
        <f t="shared" ref="D14:E14" si="4">D10-D11-D12-D13</f>
        <v>20.2</v>
      </c>
      <c r="E14" s="14">
        <f t="shared" si="4"/>
        <v>37.999999999999993</v>
      </c>
      <c r="F14" s="14">
        <f>F10-F11-F12-F13</f>
        <v>54.15</v>
      </c>
      <c r="G14" s="14">
        <f t="shared" ref="G14:I14" si="5">G10-G11-G12-G13</f>
        <v>72.617999999999995</v>
      </c>
      <c r="H14" s="14">
        <f t="shared" si="5"/>
        <v>92.169000000000011</v>
      </c>
      <c r="I14" s="14">
        <f t="shared" si="5"/>
        <v>111.91950000000001</v>
      </c>
    </row>
    <row r="15" spans="1:10" ht="30" customHeight="1" x14ac:dyDescent="0.2">
      <c r="B15" s="30" t="s">
        <v>15</v>
      </c>
      <c r="C15" s="25">
        <v>7.6</v>
      </c>
      <c r="D15" s="25">
        <v>14</v>
      </c>
      <c r="E15" s="25">
        <v>22</v>
      </c>
      <c r="F15" s="27">
        <f>F$8*Assumptions!C23</f>
        <v>29.64</v>
      </c>
      <c r="G15" s="27">
        <f>G$8*Assumptions!D23</f>
        <v>38.22</v>
      </c>
      <c r="H15" s="27">
        <f>H$8*Assumptions!E23</f>
        <v>46.569600000000001</v>
      </c>
      <c r="I15" s="27">
        <f>I$8*Assumptions!F23</f>
        <v>54.192600000000013</v>
      </c>
    </row>
    <row r="16" spans="1:10" ht="30" customHeight="1" x14ac:dyDescent="0.2">
      <c r="B16" s="13" t="s">
        <v>17</v>
      </c>
      <c r="C16" s="14">
        <f>C14-C15</f>
        <v>1</v>
      </c>
      <c r="D16" s="14">
        <f t="shared" ref="D16" si="6">D14-D15</f>
        <v>6.1999999999999993</v>
      </c>
      <c r="E16" s="14">
        <f>E14-E15</f>
        <v>15.999999999999993</v>
      </c>
      <c r="F16" s="14">
        <f>F14-F15</f>
        <v>24.509999999999998</v>
      </c>
      <c r="G16" s="14">
        <f t="shared" ref="G16:I16" si="7">G14-G15</f>
        <v>34.397999999999996</v>
      </c>
      <c r="H16" s="14">
        <f t="shared" si="7"/>
        <v>45.59940000000001</v>
      </c>
      <c r="I16" s="14">
        <f t="shared" si="7"/>
        <v>57.726900000000001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77FF-25A4-4641-ADBF-BC44BB9852A2}"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 x14ac:dyDescent="0.2"/>
  <cols>
    <col min="1" max="1" width="7" style="5" customWidth="1"/>
    <col min="2" max="2" width="44" style="5" customWidth="1"/>
    <col min="3" max="4" width="14" style="5" customWidth="1"/>
    <col min="5" max="9" width="14" style="4" customWidth="1"/>
    <col min="10" max="10" width="14" style="5" customWidth="1"/>
    <col min="11" max="16384" width="8.6640625" style="5"/>
  </cols>
  <sheetData>
    <row r="1" spans="1:12" s="2" customFormat="1" ht="30" customHeight="1" x14ac:dyDescent="0.2">
      <c r="A1" s="11" t="s">
        <v>41</v>
      </c>
      <c r="F1" s="3"/>
      <c r="G1" s="3"/>
      <c r="H1" s="3"/>
      <c r="I1" s="3"/>
      <c r="J1" s="3"/>
      <c r="K1" s="3"/>
      <c r="L1" s="3"/>
    </row>
    <row r="2" spans="1:12" ht="24" customHeight="1" x14ac:dyDescent="0.2">
      <c r="A2" s="12" t="s">
        <v>39</v>
      </c>
      <c r="E2" s="5"/>
      <c r="J2" s="4"/>
      <c r="K2" s="4"/>
      <c r="L2" s="4"/>
    </row>
    <row r="3" spans="1:12" ht="30" customHeight="1" x14ac:dyDescent="0.2">
      <c r="E3" s="67"/>
    </row>
    <row r="4" spans="1:12" ht="30" customHeight="1" x14ac:dyDescent="0.2">
      <c r="A4" s="4" t="s">
        <v>37</v>
      </c>
      <c r="B4" s="6" t="s">
        <v>41</v>
      </c>
      <c r="C4" s="6"/>
      <c r="D4" s="6"/>
    </row>
    <row r="5" spans="1:12" ht="30" customHeight="1" x14ac:dyDescent="0.2">
      <c r="B5" s="9" t="s">
        <v>36</v>
      </c>
      <c r="C5" s="23" t="s">
        <v>5</v>
      </c>
      <c r="D5" s="23" t="s">
        <v>6</v>
      </c>
      <c r="E5" s="23" t="s">
        <v>7</v>
      </c>
      <c r="F5" s="10" t="s">
        <v>0</v>
      </c>
      <c r="G5" s="10" t="s">
        <v>1</v>
      </c>
      <c r="H5" s="10" t="s">
        <v>2</v>
      </c>
      <c r="I5" s="10" t="s">
        <v>3</v>
      </c>
    </row>
    <row r="6" spans="1:12" ht="30" customHeight="1" x14ac:dyDescent="0.2">
      <c r="B6" s="30" t="s">
        <v>63</v>
      </c>
      <c r="C6" s="27">
        <f>'Offline retail'!C8</f>
        <v>10</v>
      </c>
      <c r="D6" s="27">
        <f>'Offline retail'!D8</f>
        <v>30</v>
      </c>
      <c r="E6" s="27">
        <f>'Offline retail'!E8</f>
        <v>70</v>
      </c>
      <c r="F6" s="27">
        <f>'Offline retail'!F8</f>
        <v>103.19999999999999</v>
      </c>
      <c r="G6" s="27">
        <f>'Offline retail'!G8</f>
        <v>141.95500000000001</v>
      </c>
      <c r="H6" s="27">
        <f>'Offline retail'!H8</f>
        <v>184.37692500000003</v>
      </c>
      <c r="I6" s="27">
        <f>'Offline retail'!I8</f>
        <v>228.03465600000004</v>
      </c>
    </row>
    <row r="7" spans="1:12" ht="30" customHeight="1" x14ac:dyDescent="0.2">
      <c r="B7" s="30" t="s">
        <v>64</v>
      </c>
      <c r="C7" s="27">
        <f>D2C!C8</f>
        <v>20</v>
      </c>
      <c r="D7" s="27">
        <f>D2C!D8</f>
        <v>45</v>
      </c>
      <c r="E7" s="27">
        <f>D2C!E8</f>
        <v>80</v>
      </c>
      <c r="F7" s="27">
        <f>D2C!F8</f>
        <v>114</v>
      </c>
      <c r="G7" s="27">
        <f>D2C!G8</f>
        <v>152.88</v>
      </c>
      <c r="H7" s="27">
        <f>D2C!H8</f>
        <v>194.04000000000002</v>
      </c>
      <c r="I7" s="27">
        <f>D2C!I8</f>
        <v>235.62000000000003</v>
      </c>
    </row>
    <row r="8" spans="1:12" ht="30" customHeight="1" x14ac:dyDescent="0.2">
      <c r="B8" s="13" t="s">
        <v>10</v>
      </c>
      <c r="C8" s="14">
        <f>C6+C7</f>
        <v>30</v>
      </c>
      <c r="D8" s="14">
        <f t="shared" ref="D8" si="0">D6+D7</f>
        <v>75</v>
      </c>
      <c r="E8" s="14">
        <f t="shared" ref="E8" si="1">E6+E7</f>
        <v>150</v>
      </c>
      <c r="F8" s="14">
        <f>F6+F7</f>
        <v>217.2</v>
      </c>
      <c r="G8" s="14">
        <f t="shared" ref="G8:I8" si="2">G6+G7</f>
        <v>294.83500000000004</v>
      </c>
      <c r="H8" s="14">
        <f t="shared" si="2"/>
        <v>378.41692500000005</v>
      </c>
      <c r="I8" s="14">
        <f t="shared" si="2"/>
        <v>463.65465600000005</v>
      </c>
    </row>
    <row r="9" spans="1:12" ht="30" customHeight="1" x14ac:dyDescent="0.2">
      <c r="B9" s="30" t="s">
        <v>14</v>
      </c>
      <c r="C9" s="27">
        <f>'Offline retail'!C18</f>
        <v>-0.7</v>
      </c>
      <c r="D9" s="27">
        <f>'Offline retail'!D18</f>
        <v>2.299999999999998</v>
      </c>
      <c r="E9" s="27">
        <f>'Offline retail'!E18</f>
        <v>14</v>
      </c>
      <c r="F9" s="27">
        <f>'Offline retail'!F18</f>
        <v>22.983999999999988</v>
      </c>
      <c r="G9" s="27">
        <f>'Offline retail'!G18</f>
        <v>34.183040000000005</v>
      </c>
      <c r="H9" s="27">
        <f>'Offline retail'!H18</f>
        <v>46.472125750000018</v>
      </c>
      <c r="I9" s="27">
        <f>'Offline retail'!I18</f>
        <v>59.702401600000009</v>
      </c>
    </row>
    <row r="10" spans="1:12" ht="30" customHeight="1" x14ac:dyDescent="0.2">
      <c r="B10" s="30" t="s">
        <v>17</v>
      </c>
      <c r="C10" s="27">
        <f>D2C!C16</f>
        <v>1</v>
      </c>
      <c r="D10" s="27">
        <f>D2C!D16</f>
        <v>6.1999999999999993</v>
      </c>
      <c r="E10" s="27">
        <f>D2C!E16</f>
        <v>15.999999999999993</v>
      </c>
      <c r="F10" s="27">
        <f>D2C!F16</f>
        <v>24.509999999999998</v>
      </c>
      <c r="G10" s="27">
        <f>D2C!G16</f>
        <v>34.397999999999996</v>
      </c>
      <c r="H10" s="27">
        <f>D2C!H16</f>
        <v>45.59940000000001</v>
      </c>
      <c r="I10" s="27">
        <f>D2C!I16</f>
        <v>57.726900000000001</v>
      </c>
    </row>
    <row r="11" spans="1:12" ht="30" customHeight="1" x14ac:dyDescent="0.2">
      <c r="B11" s="13" t="s">
        <v>20</v>
      </c>
      <c r="C11" s="14">
        <f>C9+C10</f>
        <v>0.30000000000000004</v>
      </c>
      <c r="D11" s="14">
        <f t="shared" ref="D11:E11" si="3">D9+D10</f>
        <v>8.4999999999999964</v>
      </c>
      <c r="E11" s="14">
        <f t="shared" si="3"/>
        <v>29.999999999999993</v>
      </c>
      <c r="F11" s="14">
        <f>F9+F10</f>
        <v>47.493999999999986</v>
      </c>
      <c r="G11" s="14">
        <f t="shared" ref="G11:I11" si="4">G9+G10</f>
        <v>68.581040000000002</v>
      </c>
      <c r="H11" s="14">
        <f t="shared" si="4"/>
        <v>92.071525750000035</v>
      </c>
      <c r="I11" s="14">
        <f t="shared" si="4"/>
        <v>117.4293016</v>
      </c>
    </row>
    <row r="12" spans="1:12" ht="30" customHeight="1" x14ac:dyDescent="0.2">
      <c r="B12" s="7" t="s">
        <v>56</v>
      </c>
      <c r="C12" s="27">
        <v>2.6</v>
      </c>
      <c r="D12" s="27">
        <v>4</v>
      </c>
      <c r="E12" s="27">
        <v>6</v>
      </c>
      <c r="F12" s="27">
        <f>E12*(1+Assumptions!C27)</f>
        <v>7.8000000000000007</v>
      </c>
      <c r="G12" s="27">
        <f>F12*(1+Assumptions!D27)</f>
        <v>9.75</v>
      </c>
      <c r="H12" s="27">
        <f>G12*(1+Assumptions!E27)</f>
        <v>11.7</v>
      </c>
      <c r="I12" s="27">
        <f>H12*(1+Assumptions!F27)</f>
        <v>13.571999999999997</v>
      </c>
    </row>
    <row r="13" spans="1:12" ht="30" customHeight="1" x14ac:dyDescent="0.2">
      <c r="B13" s="7" t="s">
        <v>57</v>
      </c>
      <c r="C13" s="27">
        <v>1.4</v>
      </c>
      <c r="D13" s="27">
        <v>2.2000000000000002</v>
      </c>
      <c r="E13" s="27">
        <v>3.4</v>
      </c>
      <c r="F13" s="27">
        <f>E13*(1+Assumptions!C28)</f>
        <v>4.76</v>
      </c>
      <c r="G13" s="27">
        <f>F13*(1+Assumptions!D28)</f>
        <v>6.4260000000000002</v>
      </c>
      <c r="H13" s="27">
        <f>G13*(1+Assumptions!E28)</f>
        <v>8.3537999999999997</v>
      </c>
      <c r="I13" s="27">
        <f>H13*(1+Assumptions!F28)</f>
        <v>10.44225</v>
      </c>
    </row>
    <row r="14" spans="1:12" ht="30" customHeight="1" x14ac:dyDescent="0.2">
      <c r="B14" s="7" t="s">
        <v>58</v>
      </c>
      <c r="C14" s="27">
        <v>0.5</v>
      </c>
      <c r="D14" s="27">
        <v>0.9</v>
      </c>
      <c r="E14" s="27">
        <v>1.5</v>
      </c>
      <c r="F14" s="27">
        <f>E14*(1+Assumptions!C29)</f>
        <v>1.9500000000000002</v>
      </c>
      <c r="G14" s="27">
        <f>F14*(1+Assumptions!D29)</f>
        <v>2.4375</v>
      </c>
      <c r="H14" s="27">
        <f>G14*(1+Assumptions!E29)</f>
        <v>2.9249999999999998</v>
      </c>
      <c r="I14" s="27">
        <f>H14*(1+Assumptions!F29)</f>
        <v>3.3637499999999996</v>
      </c>
    </row>
    <row r="15" spans="1:12" ht="30" customHeight="1" x14ac:dyDescent="0.2">
      <c r="B15" s="7" t="s">
        <v>59</v>
      </c>
      <c r="C15" s="27">
        <v>0.5</v>
      </c>
      <c r="D15" s="27">
        <v>0.9</v>
      </c>
      <c r="E15" s="27">
        <v>1.5</v>
      </c>
      <c r="F15" s="27">
        <f>E15*(1+Assumptions!C30)</f>
        <v>1.875</v>
      </c>
      <c r="G15" s="27">
        <f>F15*(1+Assumptions!D30)</f>
        <v>2.2875000000000001</v>
      </c>
      <c r="H15" s="27">
        <f>G15*(1+Assumptions!E30)</f>
        <v>2.6992500000000001</v>
      </c>
      <c r="I15" s="27">
        <f>H15*(1+Assumptions!F30)</f>
        <v>3.1041374999999998</v>
      </c>
    </row>
    <row r="16" spans="1:12" ht="30" customHeight="1" x14ac:dyDescent="0.2">
      <c r="B16" s="13" t="s">
        <v>21</v>
      </c>
      <c r="C16" s="33">
        <f>C11-C12-C13-C14-C15</f>
        <v>-4.6999999999999993</v>
      </c>
      <c r="D16" s="33">
        <f t="shared" ref="D16:E16" si="5">D11-D12-D13-D14-D15</f>
        <v>0.49999999999999634</v>
      </c>
      <c r="E16" s="33">
        <f t="shared" si="5"/>
        <v>17.599999999999994</v>
      </c>
      <c r="F16" s="33">
        <f>F11-SUM(F12:F15)</f>
        <v>31.108999999999984</v>
      </c>
      <c r="G16" s="33">
        <f t="shared" ref="G16:I16" si="6">G11-SUM(G12:G15)</f>
        <v>47.680039999999998</v>
      </c>
      <c r="H16" s="33">
        <f t="shared" si="6"/>
        <v>66.393475750000036</v>
      </c>
      <c r="I16" s="33">
        <f t="shared" si="6"/>
        <v>86.947164100000009</v>
      </c>
    </row>
    <row r="17" spans="2:9" ht="30" customHeight="1" x14ac:dyDescent="0.2">
      <c r="B17" s="30" t="s">
        <v>22</v>
      </c>
      <c r="C17" s="27">
        <v>0.5</v>
      </c>
      <c r="D17" s="27">
        <v>1.5</v>
      </c>
      <c r="E17" s="27">
        <v>3</v>
      </c>
      <c r="F17" s="27">
        <f>Assumptions!$C$34</f>
        <v>3</v>
      </c>
      <c r="G17" s="27">
        <f>Assumptions!$C$34+Assumptions!$C$38</f>
        <v>4.2</v>
      </c>
      <c r="H17" s="27">
        <f>Assumptions!$C$34+Assumptions!$C$38</f>
        <v>4.2</v>
      </c>
      <c r="I17" s="27">
        <f>Assumptions!$C$34+Assumptions!$C$38</f>
        <v>4.2</v>
      </c>
    </row>
    <row r="18" spans="2:9" ht="30" customHeight="1" x14ac:dyDescent="0.2">
      <c r="B18" s="13" t="s">
        <v>103</v>
      </c>
      <c r="C18" s="33">
        <f>C16-C17</f>
        <v>-5.1999999999999993</v>
      </c>
      <c r="D18" s="33">
        <f t="shared" ref="D18:E18" si="7">D16-D17</f>
        <v>-1.0000000000000036</v>
      </c>
      <c r="E18" s="33">
        <f t="shared" si="7"/>
        <v>14.599999999999994</v>
      </c>
      <c r="F18" s="33">
        <f>F16-F17</f>
        <v>28.108999999999984</v>
      </c>
      <c r="G18" s="33">
        <f t="shared" ref="G18:I18" si="8">G16-G17</f>
        <v>43.480039999999995</v>
      </c>
      <c r="H18" s="33">
        <f t="shared" si="8"/>
        <v>62.193475750000033</v>
      </c>
      <c r="I18" s="33">
        <f t="shared" si="8"/>
        <v>82.747164100000006</v>
      </c>
    </row>
    <row r="19" spans="2:9" s="68" customFormat="1" ht="30" customHeight="1" x14ac:dyDescent="0.2">
      <c r="B19" s="70" t="s">
        <v>104</v>
      </c>
      <c r="C19" s="71">
        <v>0</v>
      </c>
      <c r="D19" s="71">
        <v>0</v>
      </c>
      <c r="E19" s="71">
        <v>0</v>
      </c>
      <c r="F19" s="71">
        <f>Assumptions!$C$42*Assumptions!$C$43</f>
        <v>4</v>
      </c>
      <c r="G19" s="71">
        <f>Assumptions!$C$42*Assumptions!$C$43</f>
        <v>4</v>
      </c>
      <c r="H19" s="71">
        <f>Assumptions!$C$42*Assumptions!$C$43</f>
        <v>4</v>
      </c>
      <c r="I19" s="71">
        <f>Assumptions!$C$42*Assumptions!$C$43</f>
        <v>4</v>
      </c>
    </row>
    <row r="20" spans="2:9" s="69" customFormat="1" ht="30" customHeight="1" x14ac:dyDescent="0.2">
      <c r="B20" s="13" t="s">
        <v>23</v>
      </c>
      <c r="C20" s="33">
        <f>C18-C19</f>
        <v>-5.1999999999999993</v>
      </c>
      <c r="D20" s="33">
        <f t="shared" ref="D20:H20" si="9">D18-D19</f>
        <v>-1.0000000000000036</v>
      </c>
      <c r="E20" s="33">
        <f t="shared" si="9"/>
        <v>14.599999999999994</v>
      </c>
      <c r="F20" s="33">
        <f t="shared" si="9"/>
        <v>24.108999999999984</v>
      </c>
      <c r="G20" s="33">
        <f t="shared" si="9"/>
        <v>39.480039999999995</v>
      </c>
      <c r="H20" s="33">
        <f t="shared" si="9"/>
        <v>58.193475750000033</v>
      </c>
      <c r="I20" s="33">
        <f>I18-I19</f>
        <v>78.747164100000006</v>
      </c>
    </row>
    <row r="21" spans="2:9" ht="30" customHeight="1" x14ac:dyDescent="0.2">
      <c r="B21" s="30" t="s">
        <v>24</v>
      </c>
      <c r="C21" s="27">
        <f>MAX(0,C20*Assumptions!$C$41)</f>
        <v>0</v>
      </c>
      <c r="D21" s="27">
        <f>MAX(0,D20*Assumptions!$C$41)</f>
        <v>0</v>
      </c>
      <c r="E21" s="27">
        <f>MAX(0,E20*Assumptions!$C$41)</f>
        <v>3.6499999999999986</v>
      </c>
      <c r="F21" s="27">
        <f>MAX(0,F20*Assumptions!$C$41)</f>
        <v>6.027249999999996</v>
      </c>
      <c r="G21" s="27">
        <f>G20*Assumptions!$C$41</f>
        <v>9.8700099999999988</v>
      </c>
      <c r="H21" s="27">
        <f>H20*Assumptions!$C$41</f>
        <v>14.548368937500008</v>
      </c>
      <c r="I21" s="27">
        <f>I20*Assumptions!$C$41</f>
        <v>19.686791025000002</v>
      </c>
    </row>
    <row r="22" spans="2:9" ht="30" customHeight="1" x14ac:dyDescent="0.2">
      <c r="B22" s="28" t="s">
        <v>25</v>
      </c>
      <c r="C22" s="34">
        <f>C20-C21</f>
        <v>-5.1999999999999993</v>
      </c>
      <c r="D22" s="34">
        <f t="shared" ref="D22:I22" si="10">D20-D21</f>
        <v>-1.0000000000000036</v>
      </c>
      <c r="E22" s="34">
        <f t="shared" si="10"/>
        <v>10.949999999999996</v>
      </c>
      <c r="F22" s="34">
        <f t="shared" si="10"/>
        <v>18.081749999999989</v>
      </c>
      <c r="G22" s="34">
        <f t="shared" si="10"/>
        <v>29.610029999999995</v>
      </c>
      <c r="H22" s="34">
        <f t="shared" si="10"/>
        <v>43.645106812500025</v>
      </c>
      <c r="I22" s="34">
        <f t="shared" si="10"/>
        <v>59.060373075000001</v>
      </c>
    </row>
    <row r="23" spans="2:9" ht="30" customHeight="1" x14ac:dyDescent="0.2">
      <c r="F23" s="6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BFA3-2844-0142-9602-670B6658855D}">
  <sheetPr>
    <tabColor theme="2" tint="-0.89999084444715716"/>
  </sheetPr>
  <dimension ref="A1"/>
  <sheetViews>
    <sheetView showGridLines="0" workbookViewId="0"/>
  </sheetViews>
  <sheetFormatPr baseColWidth="10" defaultRowHeight="30" customHeight="1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B2A5-72EF-B249-8D88-284C8E29408B}">
  <dimension ref="A1:M51"/>
  <sheetViews>
    <sheetView showGridLines="0" tabSelected="1" zoomScaleNormal="100" workbookViewId="0"/>
  </sheetViews>
  <sheetFormatPr baseColWidth="10" defaultColWidth="8.6640625" defaultRowHeight="30" customHeight="1" x14ac:dyDescent="0.2"/>
  <cols>
    <col min="1" max="1" width="5.33203125" style="4" customWidth="1"/>
    <col min="2" max="2" width="44" style="5" customWidth="1"/>
    <col min="3" max="3" width="19.5" style="4" customWidth="1"/>
    <col min="4" max="6" width="17" style="4" customWidth="1"/>
    <col min="7" max="7" width="17" style="5" customWidth="1"/>
    <col min="8" max="8" width="8.6640625" style="5"/>
    <col min="9" max="9" width="20.1640625" style="5" bestFit="1" customWidth="1"/>
    <col min="10" max="12" width="23" style="5" customWidth="1"/>
    <col min="13" max="16384" width="8.6640625" style="5"/>
  </cols>
  <sheetData>
    <row r="1" spans="1:13" s="2" customFormat="1" ht="30" customHeight="1" x14ac:dyDescent="0.2">
      <c r="A1" s="15" t="s">
        <v>94</v>
      </c>
      <c r="C1" s="3"/>
      <c r="D1" s="3"/>
      <c r="E1" s="3"/>
      <c r="F1" s="3"/>
      <c r="G1" s="3"/>
      <c r="H1" s="3"/>
      <c r="I1" s="3"/>
      <c r="J1" s="3"/>
    </row>
    <row r="2" spans="1:13" ht="24" customHeight="1" x14ac:dyDescent="0.2">
      <c r="A2" s="16" t="s">
        <v>39</v>
      </c>
      <c r="G2" s="4"/>
      <c r="H2" s="4"/>
      <c r="I2" s="4"/>
      <c r="J2" s="4"/>
    </row>
    <row r="3" spans="1:13" s="2" customFormat="1" ht="30" customHeight="1" x14ac:dyDescent="0.2">
      <c r="A3" s="3"/>
      <c r="C3" s="3"/>
      <c r="D3" s="3"/>
      <c r="E3" s="3"/>
      <c r="F3" s="3"/>
    </row>
    <row r="4" spans="1:13" s="52" customFormat="1" ht="30" customHeight="1" x14ac:dyDescent="0.2">
      <c r="A4" s="51" t="s">
        <v>37</v>
      </c>
      <c r="B4" s="52" t="s">
        <v>45</v>
      </c>
      <c r="C4" s="45"/>
      <c r="D4" s="51"/>
      <c r="E4" s="51"/>
      <c r="F4" s="51"/>
    </row>
    <row r="5" spans="1:13" s="52" customFormat="1" ht="30" customHeight="1" x14ac:dyDescent="0.2">
      <c r="A5" s="51" t="s">
        <v>37</v>
      </c>
      <c r="B5" s="52" t="s">
        <v>46</v>
      </c>
      <c r="C5" s="45"/>
      <c r="D5" s="51"/>
      <c r="E5" s="51"/>
      <c r="F5" s="51"/>
    </row>
    <row r="6" spans="1:13" ht="30" customHeight="1" x14ac:dyDescent="0.2">
      <c r="H6" s="52"/>
      <c r="I6" s="52"/>
      <c r="J6" s="52"/>
      <c r="K6" s="52"/>
      <c r="L6" s="52"/>
      <c r="M6" s="52"/>
    </row>
    <row r="7" spans="1:13" ht="30" customHeight="1" x14ac:dyDescent="0.2">
      <c r="A7" s="4" t="s">
        <v>37</v>
      </c>
      <c r="B7" s="6" t="s">
        <v>44</v>
      </c>
      <c r="H7" s="52"/>
      <c r="I7" s="52"/>
      <c r="J7" s="52"/>
      <c r="K7" s="52"/>
      <c r="L7" s="52"/>
      <c r="M7" s="52"/>
    </row>
    <row r="8" spans="1:13" ht="30" customHeight="1" x14ac:dyDescent="0.2">
      <c r="B8" s="9" t="s">
        <v>36</v>
      </c>
      <c r="C8" s="10" t="s">
        <v>0</v>
      </c>
      <c r="D8" s="10" t="s">
        <v>1</v>
      </c>
      <c r="E8" s="10" t="s">
        <v>2</v>
      </c>
      <c r="F8" s="10" t="s">
        <v>3</v>
      </c>
      <c r="H8" s="52"/>
      <c r="I8" s="52"/>
      <c r="J8" s="52"/>
      <c r="K8" s="52"/>
      <c r="L8" s="52"/>
      <c r="M8" s="52"/>
    </row>
    <row r="9" spans="1:13" ht="30" customHeight="1" x14ac:dyDescent="0.2">
      <c r="B9" s="28" t="s">
        <v>25</v>
      </c>
      <c r="C9" s="29"/>
      <c r="D9" s="29"/>
      <c r="E9" s="29"/>
      <c r="F9" s="29"/>
      <c r="H9" s="52"/>
      <c r="I9" s="52"/>
      <c r="J9" s="52"/>
      <c r="K9" s="52"/>
      <c r="L9" s="52"/>
      <c r="M9" s="52"/>
    </row>
    <row r="10" spans="1:13" ht="30" customHeight="1" x14ac:dyDescent="0.2">
      <c r="B10" s="30" t="s">
        <v>42</v>
      </c>
      <c r="C10" s="27"/>
      <c r="D10" s="27"/>
      <c r="E10" s="27"/>
      <c r="F10" s="27"/>
      <c r="H10" s="52"/>
      <c r="I10" s="52"/>
      <c r="J10" s="52"/>
      <c r="K10" s="52"/>
      <c r="L10" s="52"/>
      <c r="M10" s="52"/>
    </row>
    <row r="11" spans="1:13" ht="30" customHeight="1" x14ac:dyDescent="0.2">
      <c r="B11" s="28" t="s">
        <v>88</v>
      </c>
      <c r="C11" s="29"/>
      <c r="D11" s="29"/>
      <c r="E11" s="29"/>
      <c r="F11" s="29"/>
      <c r="H11" s="52"/>
      <c r="I11" s="52"/>
      <c r="J11" s="52"/>
      <c r="K11" s="52"/>
      <c r="L11" s="52"/>
      <c r="M11" s="52"/>
    </row>
    <row r="12" spans="1:13" ht="30" customHeight="1" x14ac:dyDescent="0.2">
      <c r="B12" s="30" t="s">
        <v>89</v>
      </c>
      <c r="C12" s="27"/>
      <c r="D12" s="27"/>
      <c r="E12" s="27"/>
      <c r="F12" s="27"/>
      <c r="H12" s="52"/>
      <c r="I12" s="52"/>
      <c r="J12" s="52"/>
      <c r="K12" s="52"/>
      <c r="L12" s="52"/>
      <c r="M12" s="52"/>
    </row>
    <row r="13" spans="1:13" ht="30" customHeight="1" x14ac:dyDescent="0.2">
      <c r="B13" s="30" t="s">
        <v>43</v>
      </c>
      <c r="C13" s="25"/>
      <c r="D13" s="25"/>
      <c r="E13" s="25"/>
      <c r="F13" s="25"/>
    </row>
    <row r="14" spans="1:13" s="8" customFormat="1" ht="30" customHeight="1" x14ac:dyDescent="0.2">
      <c r="A14" s="17"/>
      <c r="B14" s="28" t="s">
        <v>90</v>
      </c>
      <c r="C14" s="29"/>
      <c r="D14" s="29"/>
      <c r="E14" s="29"/>
      <c r="F14" s="29"/>
    </row>
    <row r="15" spans="1:13" ht="30" customHeight="1" x14ac:dyDescent="0.2">
      <c r="B15" s="43" t="s">
        <v>48</v>
      </c>
      <c r="C15" s="44"/>
      <c r="D15" s="44"/>
      <c r="E15" s="44"/>
      <c r="F15" s="44"/>
    </row>
    <row r="16" spans="1:13" ht="30" customHeight="1" x14ac:dyDescent="0.2">
      <c r="B16" s="30"/>
      <c r="C16" s="35"/>
      <c r="D16" s="35"/>
      <c r="E16" s="35"/>
      <c r="F16" s="35"/>
    </row>
    <row r="17" spans="1:11" ht="30" customHeight="1" x14ac:dyDescent="0.2">
      <c r="A17" s="4" t="s">
        <v>37</v>
      </c>
      <c r="B17" s="30" t="s">
        <v>47</v>
      </c>
      <c r="C17" s="25"/>
      <c r="D17" s="25"/>
      <c r="E17" s="25"/>
      <c r="F17" s="25"/>
    </row>
    <row r="18" spans="1:11" ht="30" customHeight="1" x14ac:dyDescent="0.2">
      <c r="B18" s="30" t="s">
        <v>45</v>
      </c>
      <c r="C18" s="36"/>
      <c r="D18" s="36"/>
      <c r="E18" s="36"/>
      <c r="F18" s="36"/>
    </row>
    <row r="19" spans="1:11" ht="30" customHeight="1" x14ac:dyDescent="0.2">
      <c r="B19" s="30"/>
      <c r="C19" s="35"/>
      <c r="D19" s="35"/>
      <c r="E19" s="35"/>
      <c r="F19" s="35"/>
      <c r="J19" s="53"/>
    </row>
    <row r="20" spans="1:11" ht="30" customHeight="1" x14ac:dyDescent="0.2">
      <c r="A20" s="4" t="s">
        <v>37</v>
      </c>
      <c r="B20" s="28" t="s">
        <v>49</v>
      </c>
      <c r="C20" s="29"/>
      <c r="D20" s="29"/>
      <c r="E20" s="29"/>
      <c r="F20" s="29"/>
      <c r="J20" s="53"/>
    </row>
    <row r="21" spans="1:11" ht="30" customHeight="1" x14ac:dyDescent="0.2">
      <c r="B21" s="43" t="s">
        <v>50</v>
      </c>
      <c r="C21" s="44"/>
      <c r="D21" s="44"/>
      <c r="E21" s="44"/>
      <c r="F21" s="44"/>
      <c r="J21" s="53"/>
    </row>
    <row r="22" spans="1:11" ht="30" customHeight="1" x14ac:dyDescent="0.2">
      <c r="B22" s="30"/>
      <c r="C22" s="35"/>
      <c r="D22" s="35"/>
      <c r="E22" s="35"/>
      <c r="F22" s="35"/>
      <c r="J22" s="53"/>
    </row>
    <row r="23" spans="1:11" ht="30" customHeight="1" x14ac:dyDescent="0.2">
      <c r="A23" s="4" t="s">
        <v>37</v>
      </c>
      <c r="B23" s="28" t="s">
        <v>91</v>
      </c>
      <c r="C23" s="29"/>
      <c r="D23" s="46"/>
      <c r="E23" s="46"/>
      <c r="F23" s="46"/>
    </row>
    <row r="24" spans="1:11" s="54" customFormat="1" ht="30" customHeight="1" x14ac:dyDescent="0.2">
      <c r="K24" s="55"/>
    </row>
    <row r="25" spans="1:11" ht="30" customHeight="1" x14ac:dyDescent="0.2">
      <c r="A25" s="4" t="s">
        <v>37</v>
      </c>
      <c r="B25" s="37" t="s">
        <v>95</v>
      </c>
      <c r="D25" s="65"/>
      <c r="E25" s="65"/>
      <c r="F25" s="65"/>
      <c r="G25" s="65"/>
      <c r="H25" s="65"/>
    </row>
    <row r="26" spans="1:11" ht="30" customHeight="1" x14ac:dyDescent="0.2">
      <c r="B26" s="9" t="s">
        <v>36</v>
      </c>
      <c r="C26" s="58">
        <v>46112</v>
      </c>
      <c r="D26" s="65"/>
      <c r="E26" s="65"/>
      <c r="F26" s="65"/>
      <c r="G26" s="65"/>
      <c r="H26" s="65"/>
    </row>
    <row r="27" spans="1:11" ht="30" customHeight="1" x14ac:dyDescent="0.2">
      <c r="B27" s="56" t="s">
        <v>96</v>
      </c>
      <c r="C27" s="57"/>
      <c r="D27" s="65"/>
      <c r="E27" s="65"/>
      <c r="F27" s="65"/>
      <c r="G27" s="65"/>
      <c r="H27" s="65"/>
    </row>
    <row r="28" spans="1:11" ht="30" customHeight="1" x14ac:dyDescent="0.2">
      <c r="B28" s="56" t="s">
        <v>97</v>
      </c>
      <c r="C28" s="72"/>
      <c r="D28" s="65"/>
      <c r="E28" s="65"/>
      <c r="F28" s="65"/>
      <c r="G28" s="65"/>
      <c r="H28" s="65"/>
    </row>
    <row r="29" spans="1:11" ht="30" customHeight="1" x14ac:dyDescent="0.2">
      <c r="B29" s="28" t="s">
        <v>98</v>
      </c>
      <c r="C29" s="73"/>
      <c r="D29" s="54"/>
      <c r="E29" s="54"/>
      <c r="F29" s="54"/>
    </row>
    <row r="30" spans="1:11" ht="30" customHeight="1" x14ac:dyDescent="0.2">
      <c r="A30" s="54"/>
      <c r="B30" s="54"/>
      <c r="C30" s="54"/>
      <c r="D30" s="54"/>
      <c r="E30" s="54"/>
      <c r="F30" s="54"/>
    </row>
    <row r="31" spans="1:11" ht="30" customHeight="1" x14ac:dyDescent="0.2">
      <c r="A31" s="4" t="s">
        <v>37</v>
      </c>
      <c r="B31" s="37" t="s">
        <v>92</v>
      </c>
    </row>
    <row r="32" spans="1:11" ht="30" customHeight="1" x14ac:dyDescent="0.2">
      <c r="B32" s="9" t="s">
        <v>36</v>
      </c>
      <c r="C32" s="58">
        <v>46112</v>
      </c>
      <c r="D32" s="58">
        <v>46477</v>
      </c>
      <c r="E32" s="58">
        <v>46843</v>
      </c>
      <c r="F32" s="58">
        <v>47208</v>
      </c>
      <c r="G32" s="58">
        <v>47573</v>
      </c>
    </row>
    <row r="33" spans="1:7" ht="30" customHeight="1" x14ac:dyDescent="0.2">
      <c r="B33" s="56" t="s">
        <v>93</v>
      </c>
      <c r="C33" s="57"/>
      <c r="D33" s="57"/>
      <c r="E33" s="57"/>
      <c r="F33" s="57"/>
      <c r="G33" s="57"/>
    </row>
    <row r="34" spans="1:7" ht="30" customHeight="1" x14ac:dyDescent="0.2">
      <c r="B34" s="28" t="s">
        <v>99</v>
      </c>
      <c r="C34" s="59"/>
      <c r="D34" s="54"/>
      <c r="E34" s="54"/>
      <c r="F34" s="54"/>
    </row>
    <row r="36" spans="1:7" ht="30" customHeight="1" x14ac:dyDescent="0.2">
      <c r="A36" s="4" t="s">
        <v>37</v>
      </c>
      <c r="B36" s="37" t="s">
        <v>27</v>
      </c>
    </row>
    <row r="37" spans="1:7" ht="30" customHeight="1" x14ac:dyDescent="0.2">
      <c r="B37" s="18" t="s">
        <v>28</v>
      </c>
      <c r="C37" s="20" t="s">
        <v>29</v>
      </c>
      <c r="D37" s="20" t="s">
        <v>26</v>
      </c>
    </row>
    <row r="38" spans="1:7" ht="30" customHeight="1" x14ac:dyDescent="0.2">
      <c r="B38" s="38" t="s">
        <v>32</v>
      </c>
      <c r="C38" s="25"/>
      <c r="D38" s="40"/>
    </row>
    <row r="39" spans="1:7" ht="30" customHeight="1" x14ac:dyDescent="0.2">
      <c r="B39" s="38" t="s">
        <v>31</v>
      </c>
      <c r="C39" s="25"/>
      <c r="D39" s="40"/>
    </row>
    <row r="40" spans="1:7" ht="30" customHeight="1" x14ac:dyDescent="0.2">
      <c r="B40" s="38" t="s">
        <v>30</v>
      </c>
      <c r="C40" s="25"/>
      <c r="D40" s="40"/>
    </row>
    <row r="42" spans="1:7" ht="30" customHeight="1" x14ac:dyDescent="0.2">
      <c r="A42" s="4" t="s">
        <v>37</v>
      </c>
      <c r="B42" s="37" t="s">
        <v>60</v>
      </c>
    </row>
    <row r="43" spans="1:7" ht="30" customHeight="1" x14ac:dyDescent="0.2">
      <c r="B43" s="18" t="s">
        <v>36</v>
      </c>
      <c r="C43" s="23" t="s">
        <v>7</v>
      </c>
      <c r="D43" s="10" t="s">
        <v>0</v>
      </c>
      <c r="E43" s="10" t="s">
        <v>1</v>
      </c>
      <c r="F43" s="10" t="s">
        <v>2</v>
      </c>
      <c r="G43" s="10" t="s">
        <v>3</v>
      </c>
    </row>
    <row r="44" spans="1:7" ht="30" customHeight="1" x14ac:dyDescent="0.2">
      <c r="B44" s="38" t="s">
        <v>61</v>
      </c>
      <c r="C44" s="50"/>
      <c r="D44" s="39"/>
      <c r="E44" s="39"/>
      <c r="F44" s="39"/>
      <c r="G44" s="39"/>
    </row>
    <row r="45" spans="1:7" ht="30" customHeight="1" x14ac:dyDescent="0.2">
      <c r="B45" s="41" t="s">
        <v>62</v>
      </c>
      <c r="C45" s="42"/>
      <c r="D45" s="42"/>
      <c r="E45" s="42"/>
      <c r="F45" s="42"/>
      <c r="G45" s="42"/>
    </row>
    <row r="48" spans="1:7" ht="30" customHeight="1" x14ac:dyDescent="0.2">
      <c r="B48" s="60"/>
      <c r="C48" s="61"/>
      <c r="D48" s="61"/>
      <c r="E48" s="61"/>
    </row>
    <row r="49" spans="2:5" ht="30" customHeight="1" x14ac:dyDescent="0.2">
      <c r="B49" s="62"/>
      <c r="C49" s="63"/>
      <c r="D49" s="63"/>
      <c r="E49" s="63"/>
    </row>
    <row r="50" spans="2:5" ht="30" customHeight="1" x14ac:dyDescent="0.2">
      <c r="B50" s="64"/>
      <c r="C50" s="63"/>
      <c r="D50" s="63"/>
      <c r="E50" s="63"/>
    </row>
    <row r="51" spans="2:5" ht="30" customHeight="1" x14ac:dyDescent="0.2">
      <c r="B51" s="62"/>
      <c r="C51" s="63"/>
      <c r="D51" s="63"/>
      <c r="E51" s="6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zoomScaleNormal="100" workbookViewId="0"/>
  </sheetViews>
  <sheetFormatPr baseColWidth="10" defaultColWidth="8.6640625" defaultRowHeight="30" customHeight="1" x14ac:dyDescent="0.2"/>
  <cols>
    <col min="1" max="1" width="8.6640625" style="5"/>
    <col min="2" max="2" width="40" style="5" customWidth="1"/>
    <col min="3" max="3" width="46.5" style="4" customWidth="1"/>
    <col min="4" max="9" width="23.5" style="4" customWidth="1"/>
    <col min="10" max="16384" width="8.6640625" style="5"/>
  </cols>
  <sheetData>
    <row r="1" spans="1:11" s="2" customFormat="1" ht="30" customHeight="1" x14ac:dyDescent="0.2">
      <c r="A1" s="15" t="s">
        <v>66</v>
      </c>
      <c r="C1" s="3"/>
      <c r="D1" s="3"/>
      <c r="E1" s="3"/>
      <c r="F1" s="3"/>
      <c r="G1" s="3"/>
      <c r="H1" s="3"/>
      <c r="I1" s="3"/>
      <c r="J1" s="3"/>
      <c r="K1" s="3"/>
    </row>
    <row r="2" spans="1:11" s="2" customFormat="1" ht="30" customHeight="1" x14ac:dyDescent="0.2"/>
    <row r="3" spans="1:11" s="2" customFormat="1" ht="30" customHeight="1" x14ac:dyDescent="0.2"/>
    <row r="4" spans="1:11" s="2" customFormat="1" ht="30" customHeight="1" x14ac:dyDescent="0.2"/>
    <row r="5" spans="1:11" s="2" customFormat="1" ht="30" customHeight="1" x14ac:dyDescent="0.2"/>
    <row r="6" spans="1:11" s="2" customFormat="1" ht="30" customHeight="1" x14ac:dyDescent="0.2"/>
    <row r="7" spans="1:11" s="2" customFormat="1" ht="30" customHeight="1" x14ac:dyDescent="0.2"/>
    <row r="8" spans="1:11" s="2" customFormat="1" ht="30" customHeight="1" x14ac:dyDescent="0.2"/>
    <row r="9" spans="1:11" s="2" customFormat="1" ht="30" customHeight="1" x14ac:dyDescent="0.2"/>
    <row r="10" spans="1:11" s="2" customFormat="1" ht="30" customHeight="1" x14ac:dyDescent="0.2"/>
    <row r="11" spans="1:11" s="2" customFormat="1" ht="30" customHeight="1" x14ac:dyDescent="0.2"/>
    <row r="12" spans="1:11" s="2" customFormat="1" ht="30" customHeight="1" x14ac:dyDescent="0.2"/>
    <row r="13" spans="1:11" s="2" customFormat="1" ht="30" customHeight="1" x14ac:dyDescent="0.2"/>
    <row r="14" spans="1:11" s="2" customFormat="1" ht="30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38D8-E7FA-A643-A1A3-D6D8FFF653F6}">
  <dimension ref="A1:K2"/>
  <sheetViews>
    <sheetView showGridLines="0" workbookViewId="0"/>
  </sheetViews>
  <sheetFormatPr baseColWidth="10" defaultRowHeight="30" customHeight="1" x14ac:dyDescent="0.2"/>
  <sheetData>
    <row r="1" spans="1:11" s="2" customFormat="1" ht="30" customHeight="1" x14ac:dyDescent="0.2">
      <c r="A1" s="15" t="s">
        <v>65</v>
      </c>
      <c r="D1" s="3"/>
      <c r="E1" s="3"/>
      <c r="F1" s="3"/>
      <c r="G1" s="3"/>
      <c r="H1" s="3"/>
      <c r="I1" s="3"/>
      <c r="J1" s="3"/>
      <c r="K1" s="3"/>
    </row>
    <row r="2" spans="1:11" s="48" customFormat="1" ht="30" customHeight="1" x14ac:dyDescent="0.2">
      <c r="A2" s="47"/>
      <c r="D2" s="49"/>
      <c r="E2" s="49"/>
      <c r="F2" s="49"/>
      <c r="G2" s="49"/>
      <c r="H2" s="49"/>
      <c r="I2" s="49"/>
      <c r="J2" s="49"/>
      <c r="K2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F0FB-4BD8-D64C-88DD-604980A5BDE7}">
  <dimension ref="A1:K1"/>
  <sheetViews>
    <sheetView showGridLines="0" workbookViewId="0"/>
  </sheetViews>
  <sheetFormatPr baseColWidth="10" defaultRowHeight="15" x14ac:dyDescent="0.2"/>
  <cols>
    <col min="1" max="1" width="10.83203125" customWidth="1"/>
  </cols>
  <sheetData>
    <row r="1" spans="1:11" s="2" customFormat="1" ht="30" customHeight="1" x14ac:dyDescent="0.2">
      <c r="A1" s="15" t="s">
        <v>67</v>
      </c>
      <c r="D1" s="3"/>
      <c r="E1" s="3"/>
      <c r="F1" s="3"/>
      <c r="G1" s="3"/>
      <c r="H1" s="3"/>
      <c r="I1" s="3"/>
      <c r="J1" s="3"/>
      <c r="K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E740-E464-0B41-8506-C0E0B774FDB0}">
  <dimension ref="A1:K1"/>
  <sheetViews>
    <sheetView showGridLines="0" workbookViewId="0"/>
  </sheetViews>
  <sheetFormatPr baseColWidth="10" defaultRowHeight="15" x14ac:dyDescent="0.2"/>
  <cols>
    <col min="1" max="1" width="10.83203125" customWidth="1"/>
  </cols>
  <sheetData>
    <row r="1" spans="1:11" s="2" customFormat="1" ht="30" customHeight="1" x14ac:dyDescent="0.2">
      <c r="A1" s="15" t="s">
        <v>67</v>
      </c>
      <c r="D1" s="3"/>
      <c r="E1" s="3"/>
      <c r="F1" s="3"/>
      <c r="G1" s="3"/>
      <c r="H1" s="3"/>
      <c r="I1" s="3"/>
      <c r="J1" s="3"/>
      <c r="K1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97F4-87D4-734C-A879-6DD92FCCC9A5}">
  <dimension ref="A1:K1"/>
  <sheetViews>
    <sheetView showGridLines="0" workbookViewId="0"/>
  </sheetViews>
  <sheetFormatPr baseColWidth="10" defaultRowHeight="30" customHeight="1" x14ac:dyDescent="0.2"/>
  <cols>
    <col min="1" max="16384" width="10.83203125" style="2"/>
  </cols>
  <sheetData>
    <row r="1" spans="1:11" ht="30" customHeight="1" x14ac:dyDescent="0.2">
      <c r="A1" s="15" t="s">
        <v>68</v>
      </c>
      <c r="D1" s="3"/>
      <c r="E1" s="3"/>
      <c r="F1" s="3"/>
      <c r="G1" s="3"/>
      <c r="H1" s="3"/>
      <c r="I1" s="3"/>
      <c r="J1" s="3"/>
      <c r="K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09D2-5C19-D04E-8830-B0D3FD902AF9}">
  <sheetPr>
    <tabColor theme="2" tint="-0.89999084444715716"/>
  </sheetPr>
  <dimension ref="A1:K44"/>
  <sheetViews>
    <sheetView showGridLines="0" zoomScaleNormal="100" workbookViewId="0"/>
  </sheetViews>
  <sheetFormatPr baseColWidth="10" defaultRowHeight="30" customHeight="1" x14ac:dyDescent="0.2"/>
  <cols>
    <col min="1" max="1" width="6.5" style="4" customWidth="1"/>
    <col min="2" max="2" width="63.33203125" style="5" bestFit="1" customWidth="1"/>
    <col min="3" max="6" width="14.6640625" style="4" customWidth="1"/>
    <col min="7" max="16384" width="10.83203125" style="5"/>
  </cols>
  <sheetData>
    <row r="1" spans="1:11" s="2" customFormat="1" ht="30" customHeight="1" x14ac:dyDescent="0.2">
      <c r="A1" s="15" t="s">
        <v>75</v>
      </c>
      <c r="C1" s="3"/>
      <c r="D1" s="3"/>
      <c r="E1" s="3"/>
      <c r="F1" s="3"/>
      <c r="G1" s="3"/>
      <c r="H1" s="3"/>
      <c r="I1" s="3"/>
      <c r="J1" s="3"/>
      <c r="K1" s="3"/>
    </row>
    <row r="2" spans="1:11" ht="24" customHeight="1" x14ac:dyDescent="0.2">
      <c r="A2" s="16"/>
      <c r="G2" s="4"/>
      <c r="H2" s="4"/>
      <c r="I2" s="4"/>
      <c r="J2" s="4"/>
      <c r="K2" s="4"/>
    </row>
    <row r="3" spans="1:11" s="2" customFormat="1" ht="30" customHeight="1" x14ac:dyDescent="0.2">
      <c r="A3" s="3"/>
      <c r="C3" s="3"/>
      <c r="D3" s="3"/>
      <c r="E3" s="3"/>
      <c r="F3" s="3"/>
    </row>
    <row r="4" spans="1:11" s="22" customFormat="1" ht="30" customHeight="1" x14ac:dyDescent="0.2">
      <c r="A4" s="21" t="s">
        <v>37</v>
      </c>
      <c r="B4" s="22" t="s">
        <v>51</v>
      </c>
      <c r="C4" s="21"/>
      <c r="D4" s="21"/>
      <c r="E4" s="21"/>
      <c r="F4" s="21"/>
    </row>
    <row r="5" spans="1:11" ht="30" customHeight="1" x14ac:dyDescent="0.2">
      <c r="B5" s="9" t="s">
        <v>36</v>
      </c>
      <c r="C5" s="10" t="s">
        <v>0</v>
      </c>
      <c r="D5" s="10" t="s">
        <v>1</v>
      </c>
      <c r="E5" s="10" t="s">
        <v>2</v>
      </c>
      <c r="F5" s="10" t="s">
        <v>3</v>
      </c>
    </row>
    <row r="6" spans="1:11" ht="30" customHeight="1" x14ac:dyDescent="0.2">
      <c r="B6" s="7" t="s">
        <v>80</v>
      </c>
      <c r="C6" s="45">
        <v>0.45</v>
      </c>
      <c r="D6" s="45">
        <v>0.35</v>
      </c>
      <c r="E6" s="45">
        <v>0.28000000000000003</v>
      </c>
      <c r="F6" s="45">
        <v>0.22</v>
      </c>
    </row>
    <row r="7" spans="1:11" ht="30" customHeight="1" x14ac:dyDescent="0.2">
      <c r="B7" s="7" t="s">
        <v>81</v>
      </c>
      <c r="C7" s="45">
        <v>0.55000000000000004</v>
      </c>
      <c r="D7" s="45">
        <v>0.45</v>
      </c>
      <c r="E7" s="45">
        <v>0.35</v>
      </c>
      <c r="F7" s="45">
        <v>0.28000000000000003</v>
      </c>
    </row>
    <row r="8" spans="1:11" ht="30" customHeight="1" x14ac:dyDescent="0.2">
      <c r="B8" s="7" t="s">
        <v>79</v>
      </c>
      <c r="C8" s="45">
        <v>0.5</v>
      </c>
      <c r="D8" s="45">
        <v>0.5</v>
      </c>
      <c r="E8" s="45">
        <v>0.5</v>
      </c>
      <c r="F8" s="45">
        <v>0.5</v>
      </c>
    </row>
    <row r="9" spans="1:11" ht="30" customHeight="1" x14ac:dyDescent="0.2">
      <c r="B9" s="7" t="s">
        <v>87</v>
      </c>
      <c r="C9" s="45">
        <v>1.2E-2</v>
      </c>
      <c r="D9" s="45">
        <v>0.01</v>
      </c>
      <c r="E9" s="45">
        <v>1.2E-2</v>
      </c>
      <c r="F9" s="45">
        <v>1.2E-2</v>
      </c>
    </row>
    <row r="10" spans="1:11" ht="30" customHeight="1" x14ac:dyDescent="0.2">
      <c r="B10" s="7" t="s">
        <v>77</v>
      </c>
      <c r="C10" s="45">
        <v>8.0000000000000002E-3</v>
      </c>
      <c r="D10" s="45">
        <v>8.0000000000000002E-3</v>
      </c>
      <c r="E10" s="45">
        <v>8.0000000000000002E-3</v>
      </c>
      <c r="F10" s="45">
        <v>8.0000000000000002E-3</v>
      </c>
    </row>
    <row r="11" spans="1:11" ht="30" customHeight="1" x14ac:dyDescent="0.2">
      <c r="B11" s="7" t="s">
        <v>78</v>
      </c>
      <c r="C11" s="45">
        <v>0.05</v>
      </c>
      <c r="D11" s="45">
        <v>0.05</v>
      </c>
      <c r="E11" s="45">
        <v>0.05</v>
      </c>
      <c r="F11" s="45">
        <v>0.05</v>
      </c>
    </row>
    <row r="12" spans="1:11" ht="30" customHeight="1" x14ac:dyDescent="0.2">
      <c r="B12" s="7" t="s">
        <v>82</v>
      </c>
      <c r="C12" s="45">
        <v>0.32</v>
      </c>
      <c r="D12" s="45">
        <v>0.26</v>
      </c>
      <c r="E12" s="45">
        <v>0.2</v>
      </c>
      <c r="F12" s="45">
        <v>0.16</v>
      </c>
    </row>
    <row r="13" spans="1:11" ht="30" customHeight="1" x14ac:dyDescent="0.2">
      <c r="B13" s="7" t="s">
        <v>83</v>
      </c>
      <c r="C13" s="45">
        <v>0.34</v>
      </c>
      <c r="D13" s="45">
        <v>0.28000000000000003</v>
      </c>
      <c r="E13" s="45">
        <v>0.22</v>
      </c>
      <c r="F13" s="45">
        <v>0.18</v>
      </c>
    </row>
    <row r="15" spans="1:11" s="8" customFormat="1" ht="30" customHeight="1" x14ac:dyDescent="0.2">
      <c r="A15" s="17" t="s">
        <v>37</v>
      </c>
      <c r="B15" s="6" t="s">
        <v>52</v>
      </c>
      <c r="C15" s="17"/>
      <c r="D15" s="17"/>
      <c r="E15" s="17"/>
      <c r="F15" s="17"/>
    </row>
    <row r="16" spans="1:11" ht="30" customHeight="1" x14ac:dyDescent="0.2">
      <c r="B16" s="18" t="s">
        <v>36</v>
      </c>
      <c r="C16" s="20" t="s">
        <v>0</v>
      </c>
      <c r="D16" s="20" t="s">
        <v>1</v>
      </c>
      <c r="E16" s="20" t="s">
        <v>2</v>
      </c>
      <c r="F16" s="20" t="s">
        <v>3</v>
      </c>
    </row>
    <row r="17" spans="1:6" ht="30" customHeight="1" x14ac:dyDescent="0.2">
      <c r="B17" s="19" t="s">
        <v>80</v>
      </c>
      <c r="C17" s="45">
        <v>0.4</v>
      </c>
      <c r="D17" s="45">
        <v>0.32</v>
      </c>
      <c r="E17" s="45">
        <v>0.25</v>
      </c>
      <c r="F17" s="45">
        <v>0.2</v>
      </c>
    </row>
    <row r="18" spans="1:6" ht="30" customHeight="1" x14ac:dyDescent="0.2">
      <c r="B18" s="19" t="s">
        <v>81</v>
      </c>
      <c r="C18" s="45">
        <v>0.5</v>
      </c>
      <c r="D18" s="45">
        <v>0.4</v>
      </c>
      <c r="E18" s="45">
        <v>0.32</v>
      </c>
      <c r="F18" s="45">
        <v>0.25</v>
      </c>
    </row>
    <row r="19" spans="1:6" ht="30" customHeight="1" x14ac:dyDescent="0.2">
      <c r="B19" s="19" t="s">
        <v>79</v>
      </c>
      <c r="C19" s="45">
        <v>0.53</v>
      </c>
      <c r="D19" s="45">
        <v>0.53</v>
      </c>
      <c r="E19" s="45">
        <v>0.53</v>
      </c>
      <c r="F19" s="45">
        <v>0.53</v>
      </c>
    </row>
    <row r="20" spans="1:6" ht="30" customHeight="1" x14ac:dyDescent="0.2">
      <c r="B20" s="19" t="s">
        <v>87</v>
      </c>
      <c r="C20" s="45">
        <v>1.4999999999999999E-2</v>
      </c>
      <c r="D20" s="45">
        <v>1.4999999999999999E-2</v>
      </c>
      <c r="E20" s="45">
        <v>1.4999999999999999E-2</v>
      </c>
      <c r="F20" s="45">
        <v>1.4999999999999999E-2</v>
      </c>
    </row>
    <row r="21" spans="1:6" ht="30" customHeight="1" x14ac:dyDescent="0.2">
      <c r="B21" s="19" t="s">
        <v>77</v>
      </c>
      <c r="C21" s="45">
        <v>1.4999999999999999E-2</v>
      </c>
      <c r="D21" s="45">
        <v>1.4999999999999999E-2</v>
      </c>
      <c r="E21" s="45">
        <v>1.4999999999999999E-2</v>
      </c>
      <c r="F21" s="45">
        <v>1.4999999999999999E-2</v>
      </c>
    </row>
    <row r="22" spans="1:6" ht="30" customHeight="1" x14ac:dyDescent="0.2">
      <c r="B22" s="19" t="s">
        <v>76</v>
      </c>
      <c r="C22" s="45">
        <v>2.5000000000000001E-2</v>
      </c>
      <c r="D22" s="45">
        <v>2.5000000000000001E-2</v>
      </c>
      <c r="E22" s="45">
        <v>2.5000000000000001E-2</v>
      </c>
      <c r="F22" s="45">
        <v>2.5000000000000001E-2</v>
      </c>
    </row>
    <row r="23" spans="1:6" ht="30" customHeight="1" x14ac:dyDescent="0.2">
      <c r="B23" s="19" t="s">
        <v>78</v>
      </c>
      <c r="C23" s="45">
        <v>0.26</v>
      </c>
      <c r="D23" s="45">
        <v>0.25</v>
      </c>
      <c r="E23" s="45">
        <v>0.24</v>
      </c>
      <c r="F23" s="45">
        <v>0.23</v>
      </c>
    </row>
    <row r="25" spans="1:6" ht="30" customHeight="1" x14ac:dyDescent="0.2">
      <c r="A25" s="17" t="s">
        <v>37</v>
      </c>
      <c r="B25" s="6" t="s">
        <v>84</v>
      </c>
      <c r="C25" s="17"/>
    </row>
    <row r="26" spans="1:6" ht="30" customHeight="1" x14ac:dyDescent="0.15">
      <c r="A26" s="32"/>
      <c r="B26" s="9" t="s">
        <v>36</v>
      </c>
      <c r="C26" s="10" t="s">
        <v>0</v>
      </c>
      <c r="D26" s="10" t="s">
        <v>1</v>
      </c>
      <c r="E26" s="10" t="s">
        <v>2</v>
      </c>
      <c r="F26" s="10" t="s">
        <v>3</v>
      </c>
    </row>
    <row r="27" spans="1:6" ht="30" customHeight="1" x14ac:dyDescent="0.15">
      <c r="A27" s="1"/>
      <c r="B27" s="7" t="s">
        <v>56</v>
      </c>
      <c r="C27" s="45">
        <v>0.3</v>
      </c>
      <c r="D27" s="45">
        <v>0.25</v>
      </c>
      <c r="E27" s="45">
        <v>0.2</v>
      </c>
      <c r="F27" s="45">
        <v>0.16</v>
      </c>
    </row>
    <row r="28" spans="1:6" ht="30" customHeight="1" x14ac:dyDescent="0.15">
      <c r="A28" s="1"/>
      <c r="B28" s="7" t="s">
        <v>57</v>
      </c>
      <c r="C28" s="45">
        <v>0.4</v>
      </c>
      <c r="D28" s="45">
        <v>0.35</v>
      </c>
      <c r="E28" s="45">
        <v>0.3</v>
      </c>
      <c r="F28" s="45">
        <v>0.25</v>
      </c>
    </row>
    <row r="29" spans="1:6" ht="30" customHeight="1" x14ac:dyDescent="0.15">
      <c r="A29" s="1"/>
      <c r="B29" s="7" t="s">
        <v>58</v>
      </c>
      <c r="C29" s="45">
        <v>0.3</v>
      </c>
      <c r="D29" s="45">
        <v>0.25</v>
      </c>
      <c r="E29" s="45">
        <v>0.2</v>
      </c>
      <c r="F29" s="45">
        <v>0.15</v>
      </c>
    </row>
    <row r="30" spans="1:6" ht="30" customHeight="1" x14ac:dyDescent="0.15">
      <c r="A30" s="1"/>
      <c r="B30" s="7" t="s">
        <v>59</v>
      </c>
      <c r="C30" s="45">
        <v>0.25</v>
      </c>
      <c r="D30" s="45">
        <v>0.22</v>
      </c>
      <c r="E30" s="45">
        <v>0.18</v>
      </c>
      <c r="F30" s="45">
        <v>0.15</v>
      </c>
    </row>
    <row r="32" spans="1:6" ht="30" customHeight="1" x14ac:dyDescent="0.2">
      <c r="A32" s="17" t="s">
        <v>37</v>
      </c>
      <c r="B32" s="6" t="s">
        <v>53</v>
      </c>
      <c r="C32" s="17"/>
    </row>
    <row r="33" spans="2:3" ht="30" customHeight="1" x14ac:dyDescent="0.2">
      <c r="B33" s="18" t="s">
        <v>36</v>
      </c>
      <c r="C33" s="20" t="s">
        <v>54</v>
      </c>
    </row>
    <row r="34" spans="2:3" ht="30" customHeight="1" x14ac:dyDescent="0.2">
      <c r="B34" s="19" t="s">
        <v>70</v>
      </c>
      <c r="C34" s="25">
        <v>3</v>
      </c>
    </row>
    <row r="35" spans="2:3" ht="30" customHeight="1" x14ac:dyDescent="0.2">
      <c r="B35" s="19" t="s">
        <v>69</v>
      </c>
      <c r="C35" s="25">
        <v>6</v>
      </c>
    </row>
    <row r="36" spans="2:3" ht="30" customHeight="1" x14ac:dyDescent="0.2">
      <c r="B36" s="19" t="s">
        <v>18</v>
      </c>
      <c r="C36" s="25" t="s">
        <v>1</v>
      </c>
    </row>
    <row r="37" spans="2:3" ht="30" customHeight="1" x14ac:dyDescent="0.2">
      <c r="B37" s="19" t="s">
        <v>71</v>
      </c>
      <c r="C37" s="25">
        <v>5</v>
      </c>
    </row>
    <row r="38" spans="2:3" ht="30" customHeight="1" x14ac:dyDescent="0.2">
      <c r="B38" s="19" t="s">
        <v>72</v>
      </c>
      <c r="C38" s="50">
        <f>C35/C37</f>
        <v>1.2</v>
      </c>
    </row>
    <row r="39" spans="2:3" ht="30" customHeight="1" x14ac:dyDescent="0.2">
      <c r="B39" s="19" t="s">
        <v>73</v>
      </c>
      <c r="C39" s="45">
        <v>0.18</v>
      </c>
    </row>
    <row r="40" spans="2:3" ht="30" customHeight="1" x14ac:dyDescent="0.2">
      <c r="B40" s="19" t="s">
        <v>74</v>
      </c>
      <c r="C40" s="25">
        <v>27</v>
      </c>
    </row>
    <row r="41" spans="2:3" ht="30" customHeight="1" x14ac:dyDescent="0.2">
      <c r="B41" s="19" t="s">
        <v>19</v>
      </c>
      <c r="C41" s="45">
        <v>0.25</v>
      </c>
    </row>
    <row r="42" spans="2:3" ht="30" customHeight="1" x14ac:dyDescent="0.2">
      <c r="B42" s="19" t="s">
        <v>100</v>
      </c>
      <c r="C42" s="25">
        <v>40</v>
      </c>
    </row>
    <row r="43" spans="2:3" ht="30" customHeight="1" x14ac:dyDescent="0.2">
      <c r="B43" s="19" t="s">
        <v>101</v>
      </c>
      <c r="C43" s="45">
        <v>0.1</v>
      </c>
    </row>
    <row r="44" spans="2:3" ht="30" customHeight="1" x14ac:dyDescent="0.2">
      <c r="B44" s="19" t="s">
        <v>102</v>
      </c>
      <c r="C44" s="2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Financials&gt;&gt;</vt:lpstr>
      <vt:lpstr>Offline retail</vt:lpstr>
      <vt:lpstr>D2C</vt:lpstr>
      <vt:lpstr>Consolidated </vt:lpstr>
      <vt:lpstr>Valuation&gt;&gt;</vt:lpstr>
      <vt:lpstr>DCF (FCFE)</vt:lpstr>
      <vt:lpstr>Relative Valuation</vt:lpstr>
      <vt:lpstr>Sum of parts</vt:lpstr>
      <vt:lpstr>First Chicago</vt:lpstr>
      <vt:lpstr>Exit Pegged Valuation</vt:lpstr>
      <vt:lpstr>Football Field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Siddhant Gupta</cp:lastModifiedBy>
  <cp:revision>0</cp:revision>
  <dcterms:created xsi:type="dcterms:W3CDTF">2026-09-27T12:15:32Z</dcterms:created>
  <dcterms:modified xsi:type="dcterms:W3CDTF">2026-10-06T18:23:52Z</dcterms:modified>
  <dc:language>en-US</dc:language>
</cp:coreProperties>
</file>